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2959B81C-C806-4779-A66E-BBEDF49738B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lanning" sheetId="1" r:id="rId1"/>
  </sheets>
  <calcPr calcId="191029"/>
</workbook>
</file>

<file path=xl/calcChain.xml><?xml version="1.0" encoding="utf-8"?>
<calcChain xmlns="http://schemas.openxmlformats.org/spreadsheetml/2006/main">
  <c r="M101" i="1" l="1"/>
  <c r="L101" i="1"/>
  <c r="K101" i="1"/>
  <c r="J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Q11" i="1"/>
  <c r="N11" i="1"/>
  <c r="Q10" i="1"/>
  <c r="N10" i="1"/>
  <c r="Q9" i="1"/>
  <c r="N9" i="1"/>
  <c r="Q8" i="1"/>
  <c r="N8" i="1"/>
  <c r="N7" i="1"/>
  <c r="N6" i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N5" i="1"/>
  <c r="O65" i="1" l="1"/>
  <c r="O30" i="1"/>
  <c r="O5" i="1"/>
</calcChain>
</file>

<file path=xl/sharedStrings.xml><?xml version="1.0" encoding="utf-8"?>
<sst xmlns="http://schemas.openxmlformats.org/spreadsheetml/2006/main" count="792" uniqueCount="465">
  <si>
    <t>LL_NETAB</t>
  </si>
  <si>
    <t xml:space="preserve"> Ecole mère</t>
  </si>
  <si>
    <t>Zone : Province Taounate</t>
  </si>
  <si>
    <t>N</t>
  </si>
  <si>
    <t>LL_COM</t>
  </si>
  <si>
    <t>LL_MIL</t>
  </si>
  <si>
    <t>Ecole primaire autonome</t>
  </si>
  <si>
    <t>CD_ETAB</t>
  </si>
  <si>
    <t>مدرسة الشريف الادريسي</t>
  </si>
  <si>
    <t>NOM_ETABA</t>
  </si>
  <si>
    <t>X</t>
  </si>
  <si>
    <t>Y</t>
  </si>
  <si>
    <t>Nbre d'élèves selon AMI</t>
  </si>
  <si>
    <t>Nbre d'éléves Réalisés</t>
  </si>
  <si>
    <t>Nbre de groupe</t>
  </si>
  <si>
    <t>Validation</t>
  </si>
  <si>
    <t>Nomber ETAB par phase</t>
  </si>
  <si>
    <t>Nbre de jour</t>
  </si>
  <si>
    <t>Date début (1ere Visite )</t>
  </si>
  <si>
    <t>Date Finale de Visite</t>
  </si>
  <si>
    <t xml:space="preserve">Remarque </t>
  </si>
  <si>
    <t>مدرسة الشهداء</t>
  </si>
  <si>
    <t>Secteur Scolaire Centre – Ecole mère</t>
  </si>
  <si>
    <t>م/م غصن الزيتون</t>
  </si>
  <si>
    <t>م/م عين لقرع</t>
  </si>
  <si>
    <t>Satellite</t>
  </si>
  <si>
    <t>الفريشة</t>
  </si>
  <si>
    <t>Taounate (Mun.)</t>
  </si>
  <si>
    <t>URBAIN</t>
  </si>
  <si>
    <t>15392E</t>
  </si>
  <si>
    <t>-4.6414232061863</t>
  </si>
  <si>
    <t>34.5370935433457</t>
  </si>
  <si>
    <t>م/م الزريزر</t>
  </si>
  <si>
    <t>م/م إمام مالك</t>
  </si>
  <si>
    <t>الزاوية</t>
  </si>
  <si>
    <t>المرحلة الاولى</t>
  </si>
  <si>
    <t>م/م اولاد عيسى</t>
  </si>
  <si>
    <t>الدشارة</t>
  </si>
  <si>
    <t>م/م حجرية</t>
  </si>
  <si>
    <t>عين قطارة</t>
  </si>
  <si>
    <t>تاجيل بعد عطلة</t>
  </si>
  <si>
    <t>18531S</t>
  </si>
  <si>
    <t>م/م ساحل بوطاهر</t>
  </si>
  <si>
    <t>هوارة</t>
  </si>
  <si>
    <t>-4.64381</t>
  </si>
  <si>
    <t>34.55164</t>
  </si>
  <si>
    <t>م/م ا خلالفة</t>
  </si>
  <si>
    <t>المربطوين</t>
  </si>
  <si>
    <t>م/م لكدة</t>
  </si>
  <si>
    <t>15395H</t>
  </si>
  <si>
    <t>-4.6425</t>
  </si>
  <si>
    <t>34.52173</t>
  </si>
  <si>
    <t>م/م باب كراوة</t>
  </si>
  <si>
    <t>Ain Aicha</t>
  </si>
  <si>
    <t>RURAL</t>
  </si>
  <si>
    <t>15867W</t>
  </si>
  <si>
    <t>-4.60618505919308</t>
  </si>
  <si>
    <t>34.3776454895477</t>
  </si>
  <si>
    <t>انكوشت</t>
  </si>
  <si>
    <t>م/م البريدية</t>
  </si>
  <si>
    <t>15869Y</t>
  </si>
  <si>
    <t>م/م الشوقر</t>
  </si>
  <si>
    <t>-4.60536325690873</t>
  </si>
  <si>
    <t>34.3518535546978</t>
  </si>
  <si>
    <t>م/م السنـتـيـة</t>
  </si>
  <si>
    <t>تلغران</t>
  </si>
  <si>
    <t>Zrizer</t>
  </si>
  <si>
    <t>15720L</t>
  </si>
  <si>
    <t>المدرسة الجديدة</t>
  </si>
  <si>
    <t>-4.61683535696607</t>
  </si>
  <si>
    <t>34.5873063941747</t>
  </si>
  <si>
    <t>مدرسة الفرابي</t>
  </si>
  <si>
    <t>Bouhouda</t>
  </si>
  <si>
    <t>م/م تاينزة</t>
  </si>
  <si>
    <t>15703T</t>
  </si>
  <si>
    <t>-4.54782068977294</t>
  </si>
  <si>
    <t>34.6021319204518</t>
  </si>
  <si>
    <t>م/م بلبالة</t>
  </si>
  <si>
    <t>القلالـين</t>
  </si>
  <si>
    <t>م/م اولاد احمد</t>
  </si>
  <si>
    <t>Oulad Daoud</t>
  </si>
  <si>
    <t>15878H</t>
  </si>
  <si>
    <t>-4.73147057390781</t>
  </si>
  <si>
    <t>34.4552130232624</t>
  </si>
  <si>
    <t>م/م النصر تفرانت</t>
  </si>
  <si>
    <t>بوزخنين</t>
  </si>
  <si>
    <t>تلغراص</t>
  </si>
  <si>
    <t>م/م عين مرشوش</t>
  </si>
  <si>
    <t>اولاد عمارة</t>
  </si>
  <si>
    <t>مدرسة موسى بن نصير</t>
  </si>
  <si>
    <t>مدرسة حي الامل</t>
  </si>
  <si>
    <t>مدرسة المغرب العربي</t>
  </si>
  <si>
    <t>م/م أولاد النيف</t>
  </si>
  <si>
    <t>البازلة</t>
  </si>
  <si>
    <t>م/م اولاد بوشتى</t>
  </si>
  <si>
    <t>15880K</t>
  </si>
  <si>
    <t>-4.79120189215353</t>
  </si>
  <si>
    <t>34.4862992930779</t>
  </si>
  <si>
    <t>م/م تعاونية الكفاح</t>
  </si>
  <si>
    <t>م/م أيشتوم</t>
  </si>
  <si>
    <t>الناظور</t>
  </si>
  <si>
    <t>Mezraoua</t>
  </si>
  <si>
    <t>م/م قلعة بوهودة</t>
  </si>
  <si>
    <t>15750U</t>
  </si>
  <si>
    <t>-4.75163576008219</t>
  </si>
  <si>
    <t>34.507448525529</t>
  </si>
  <si>
    <t>الشكاير</t>
  </si>
  <si>
    <t>م/م اولاد جموح</t>
  </si>
  <si>
    <t>م/م الفقيه القري</t>
  </si>
  <si>
    <t>Khlalfa</t>
  </si>
  <si>
    <t>18911E</t>
  </si>
  <si>
    <t>م/م بني سلمان</t>
  </si>
  <si>
    <t>-4.60235823884158</t>
  </si>
  <si>
    <t>34.6712760441541</t>
  </si>
  <si>
    <t>م/م تاونات القشور</t>
  </si>
  <si>
    <t>تيجدة</t>
  </si>
  <si>
    <t>Ain Maatouf</t>
  </si>
  <si>
    <t>15849B</t>
  </si>
  <si>
    <t>-4.49183268083351</t>
  </si>
  <si>
    <t>34.4354351858851</t>
  </si>
  <si>
    <t>م/م مشكور</t>
  </si>
  <si>
    <t>م/م عين معطوف</t>
  </si>
  <si>
    <t>م/م البسابسة</t>
  </si>
  <si>
    <t>Sidi M'HamedBen Lahcen</t>
  </si>
  <si>
    <t>15840S</t>
  </si>
  <si>
    <t>-4.54856788160242</t>
  </si>
  <si>
    <t>34.2204206045273</t>
  </si>
  <si>
    <t>القبيب</t>
  </si>
  <si>
    <t>15841T</t>
  </si>
  <si>
    <t>-4.58120300431517</t>
  </si>
  <si>
    <t>34.2304478672753</t>
  </si>
  <si>
    <t>م/م عين جنان</t>
  </si>
  <si>
    <t>Moulay Bouchta</t>
  </si>
  <si>
    <t>15488J</t>
  </si>
  <si>
    <t>-5.17043126808852</t>
  </si>
  <si>
    <t>34.5409920597357</t>
  </si>
  <si>
    <t>م/م بوعادل</t>
  </si>
  <si>
    <t>باب زروقي</t>
  </si>
  <si>
    <t>مدرسة ادريس الاول</t>
  </si>
  <si>
    <t>15492N</t>
  </si>
  <si>
    <t>-5.12215963080309</t>
  </si>
  <si>
    <t>34.4502244629034</t>
  </si>
  <si>
    <t>مدرسة الداخلة</t>
  </si>
  <si>
    <t>Sidi Mokhfi</t>
  </si>
  <si>
    <t>15613V</t>
  </si>
  <si>
    <t>مدرسة ابن رشد</t>
  </si>
  <si>
    <t>-4.81842833020323</t>
  </si>
  <si>
    <t>34.6603072478812</t>
  </si>
  <si>
    <t>م م احمد الحجامي</t>
  </si>
  <si>
    <t>Karia Ba Mohamed (Mun.)</t>
  </si>
  <si>
    <t>15397K</t>
  </si>
  <si>
    <t>-5.21595002827643</t>
  </si>
  <si>
    <t>34.3687547908942</t>
  </si>
  <si>
    <t>م/م البطيمية</t>
  </si>
  <si>
    <t>م/م العنصر</t>
  </si>
  <si>
    <t>15399M</t>
  </si>
  <si>
    <t>-5.20531</t>
  </si>
  <si>
    <t>34.36387</t>
  </si>
  <si>
    <t>م/م عين قشير</t>
  </si>
  <si>
    <t>Ratba</t>
  </si>
  <si>
    <t>15582L</t>
  </si>
  <si>
    <t>-4.80199588180443</t>
  </si>
  <si>
    <t>34.7743180547344</t>
  </si>
  <si>
    <t>م/م عبد المومن الموحدي</t>
  </si>
  <si>
    <t>Kissane</t>
  </si>
  <si>
    <t>15631P</t>
  </si>
  <si>
    <t>-5.0586912161267</t>
  </si>
  <si>
    <t>34.586550036455</t>
  </si>
  <si>
    <t>م/م الكعدة</t>
  </si>
  <si>
    <t>سجالة</t>
  </si>
  <si>
    <t>Bni Snous</t>
  </si>
  <si>
    <t>15476W</t>
  </si>
  <si>
    <t>-5.20619894712365</t>
  </si>
  <si>
    <t>34.3166273736543</t>
  </si>
  <si>
    <t>م/م بوشمات</t>
  </si>
  <si>
    <t>بوزيدات</t>
  </si>
  <si>
    <t>Tafrant</t>
  </si>
  <si>
    <t>15655R</t>
  </si>
  <si>
    <t>-5.0647749588972</t>
  </si>
  <si>
    <t>34.6892647180923</t>
  </si>
  <si>
    <t>الكراردة</t>
  </si>
  <si>
    <t>15654P</t>
  </si>
  <si>
    <t>-5.08252055777745</t>
  </si>
  <si>
    <t>34.6941837515789</t>
  </si>
  <si>
    <t>م/م فج النادر</t>
  </si>
  <si>
    <t>Bouarouss</t>
  </si>
  <si>
    <t>15890W</t>
  </si>
  <si>
    <t>-4.75873422410512</t>
  </si>
  <si>
    <t>34.3752304726082</t>
  </si>
  <si>
    <t>م/م السمونيين</t>
  </si>
  <si>
    <t>م/م بـياضات</t>
  </si>
  <si>
    <t>الموالدة</t>
  </si>
  <si>
    <t>15394G</t>
  </si>
  <si>
    <t>-4.64906364566527</t>
  </si>
  <si>
    <t>34.5483953766043</t>
  </si>
  <si>
    <t>الطوابعة</t>
  </si>
  <si>
    <t>اولاد تريا</t>
  </si>
  <si>
    <t>م/م أولاد الحاج محمد</t>
  </si>
  <si>
    <t>الخروبة</t>
  </si>
  <si>
    <t xml:space="preserve">المرحلة الثانية </t>
  </si>
  <si>
    <t>م/م الركيبة</t>
  </si>
  <si>
    <t>م/م كعب بن زهير</t>
  </si>
  <si>
    <t>15396J</t>
  </si>
  <si>
    <t>-4.6382</t>
  </si>
  <si>
    <t>34.54571</t>
  </si>
  <si>
    <t>م/م مولاي بوشتى</t>
  </si>
  <si>
    <t>15393F</t>
  </si>
  <si>
    <t>-4.6419811056614</t>
  </si>
  <si>
    <t>34.5371995990228</t>
  </si>
  <si>
    <t>مدرسة البويض.كم</t>
  </si>
  <si>
    <t>15857K</t>
  </si>
  <si>
    <t>-4.68641169574311</t>
  </si>
  <si>
    <t>34.4455168980864</t>
  </si>
  <si>
    <t>م/م أغرود</t>
  </si>
  <si>
    <t>م/م الدكان</t>
  </si>
  <si>
    <t>عين مجود</t>
  </si>
  <si>
    <t>15855H</t>
  </si>
  <si>
    <t>-4.64621548875373</t>
  </si>
  <si>
    <t>34.40467662003</t>
  </si>
  <si>
    <t>15858L</t>
  </si>
  <si>
    <t>-4.70530301472228</t>
  </si>
  <si>
    <t>34.4247623825779</t>
  </si>
  <si>
    <t>اولاد عطية</t>
  </si>
  <si>
    <t>م/م سيدي الـمـخفي</t>
  </si>
  <si>
    <t>غير ملود</t>
  </si>
  <si>
    <t>15861P</t>
  </si>
  <si>
    <t>-4.68406848067581</t>
  </si>
  <si>
    <t>34.3441015749277</t>
  </si>
  <si>
    <t>م/م اولاد سليمان</t>
  </si>
  <si>
    <t>15715F</t>
  </si>
  <si>
    <t>-4.45629847299608</t>
  </si>
  <si>
    <t>م/م سيدي عثمان</t>
  </si>
  <si>
    <t>34.6495036489742</t>
  </si>
  <si>
    <t>م/م هوارة</t>
  </si>
  <si>
    <t>الكرادسة</t>
  </si>
  <si>
    <t>15714E</t>
  </si>
  <si>
    <t>-4.47206028885119</t>
  </si>
  <si>
    <t>34.633700009248</t>
  </si>
  <si>
    <t>اولاد الطالب</t>
  </si>
  <si>
    <t>م/م بني مطرف</t>
  </si>
  <si>
    <t>15719K</t>
  </si>
  <si>
    <t>-4.512764</t>
  </si>
  <si>
    <t>34.66258</t>
  </si>
  <si>
    <t>مدرسة احمد الشريف</t>
  </si>
  <si>
    <t>24324N</t>
  </si>
  <si>
    <t>مدرسة المسيرة</t>
  </si>
  <si>
    <t>-4.49945884454996</t>
  </si>
  <si>
    <t>34.6602731680723</t>
  </si>
  <si>
    <t>م/م سيدي عبد الرحمان</t>
  </si>
  <si>
    <t>15872B</t>
  </si>
  <si>
    <t>-4.73251910517251</t>
  </si>
  <si>
    <t>34.3839408113194</t>
  </si>
  <si>
    <t>مدرسة الغابة</t>
  </si>
  <si>
    <t>Ain Mediouna</t>
  </si>
  <si>
    <t>15677P</t>
  </si>
  <si>
    <t>-4.54875940482264</t>
  </si>
  <si>
    <t>34.4991766234024</t>
  </si>
  <si>
    <t>م/م عبد الوارث العثماني</t>
  </si>
  <si>
    <t>م/م شهريرة الابتدائية</t>
  </si>
  <si>
    <t>15669F</t>
  </si>
  <si>
    <t>-4.5061635808845</t>
  </si>
  <si>
    <t>34.497484449148</t>
  </si>
  <si>
    <t>م/م باب منصورة</t>
  </si>
  <si>
    <t>باب زيتونة</t>
  </si>
  <si>
    <t>15732Z</t>
  </si>
  <si>
    <t>-4.68738502929562</t>
  </si>
  <si>
    <t>34.6633192249023</t>
  </si>
  <si>
    <t>15730X</t>
  </si>
  <si>
    <t>-4.62405569981063</t>
  </si>
  <si>
    <t>34.6969487972492</t>
  </si>
  <si>
    <t>م/م البابة</t>
  </si>
  <si>
    <t>م/م بني عبد الله</t>
  </si>
  <si>
    <t>15734B</t>
  </si>
  <si>
    <t>م/م اثنين تبودة</t>
  </si>
  <si>
    <t>-4.60879755376402</t>
  </si>
  <si>
    <t>34.6295653527589</t>
  </si>
  <si>
    <t>م/م العجاجرة</t>
  </si>
  <si>
    <t>15843V</t>
  </si>
  <si>
    <t>-4.55480423662618</t>
  </si>
  <si>
    <t>34.4346977543979</t>
  </si>
  <si>
    <t>م/م محمد عابد الجابري</t>
  </si>
  <si>
    <t>El Bsabsa</t>
  </si>
  <si>
    <t>15801Z</t>
  </si>
  <si>
    <t>م/م عمارات</t>
  </si>
  <si>
    <t>-4.71456489235583</t>
  </si>
  <si>
    <t>34.3582340053951</t>
  </si>
  <si>
    <t>الغشاشمة</t>
  </si>
  <si>
    <t>15802A</t>
  </si>
  <si>
    <t>-4.6911567310982</t>
  </si>
  <si>
    <t>34.3196630226304</t>
  </si>
  <si>
    <t>اولاد سيدي الغازي</t>
  </si>
  <si>
    <t>مدرسة اولاد بلغالي.كم</t>
  </si>
  <si>
    <t>Bouadel</t>
  </si>
  <si>
    <t>15699N</t>
  </si>
  <si>
    <t>-4.55099800535361</t>
  </si>
  <si>
    <t>34.5625233448765</t>
  </si>
  <si>
    <t>15694H</t>
  </si>
  <si>
    <t>-4.52189095630257</t>
  </si>
  <si>
    <t>34.5518099704538</t>
  </si>
  <si>
    <t>Tissa (Mun.)</t>
  </si>
  <si>
    <t>15402R</t>
  </si>
  <si>
    <t>-4.66258191010111</t>
  </si>
  <si>
    <t>34.2879543176431</t>
  </si>
  <si>
    <t>18898R</t>
  </si>
  <si>
    <t>-4.66365</t>
  </si>
  <si>
    <t>34.28404</t>
  </si>
  <si>
    <t>15403S</t>
  </si>
  <si>
    <t>-4.66451359816115</t>
  </si>
  <si>
    <t>34.2929053476739</t>
  </si>
  <si>
    <t>Timezgana</t>
  </si>
  <si>
    <t>15616Y</t>
  </si>
  <si>
    <t>-4.71384863180884</t>
  </si>
  <si>
    <t>34.6374893143803</t>
  </si>
  <si>
    <t>Jbabra</t>
  </si>
  <si>
    <t>15429V</t>
  </si>
  <si>
    <t>-5.02214448048334</t>
  </si>
  <si>
    <t>34.4834561709655</t>
  </si>
  <si>
    <t>15433Z</t>
  </si>
  <si>
    <t>-5.05154092905744</t>
  </si>
  <si>
    <t>34.4340988701854</t>
  </si>
  <si>
    <t>Ouartzagh</t>
  </si>
  <si>
    <t>15554F</t>
  </si>
  <si>
    <t>-4.88568353946374</t>
  </si>
  <si>
    <t>34.4655433503453</t>
  </si>
  <si>
    <t>Oued Jemaa</t>
  </si>
  <si>
    <t>15809H</t>
  </si>
  <si>
    <t>-4.77329118044355</t>
  </si>
  <si>
    <t>34.2550163671116</t>
  </si>
  <si>
    <t>15828D</t>
  </si>
  <si>
    <t>-4.59835233918903</t>
  </si>
  <si>
    <t>34.2498337810042</t>
  </si>
  <si>
    <t>20757L</t>
  </si>
  <si>
    <t>-4.59042222260745</t>
  </si>
  <si>
    <t>34.1858872575909</t>
  </si>
  <si>
    <t>15838P</t>
  </si>
  <si>
    <t>-4.67472851580828</t>
  </si>
  <si>
    <t>34.1892352716905</t>
  </si>
  <si>
    <t>15827C</t>
  </si>
  <si>
    <t>-4.6220865683625</t>
  </si>
  <si>
    <t>34.2571115575208</t>
  </si>
  <si>
    <t>Bouchabel</t>
  </si>
  <si>
    <t>15414D</t>
  </si>
  <si>
    <t>-4.95588237097462</t>
  </si>
  <si>
    <t>34.3658607635634</t>
  </si>
  <si>
    <t>15419J</t>
  </si>
  <si>
    <t>-5.15555344353651</t>
  </si>
  <si>
    <t>34.3992577478468</t>
  </si>
  <si>
    <t xml:space="preserve">المرحلة الثالثة </t>
  </si>
  <si>
    <t>Oulad Ayyad</t>
  </si>
  <si>
    <t>15907P</t>
  </si>
  <si>
    <t>-4.67317113374076</t>
  </si>
  <si>
    <t>34.0897517246623</t>
  </si>
  <si>
    <t>15908R</t>
  </si>
  <si>
    <t>-4.7041928421259</t>
  </si>
  <si>
    <t>34.1024620185074</t>
  </si>
  <si>
    <t>15906N</t>
  </si>
  <si>
    <t>-4.64831204046822</t>
  </si>
  <si>
    <t>34.0810386682</t>
  </si>
  <si>
    <t>15416F</t>
  </si>
  <si>
    <t>-5.06971699254512</t>
  </si>
  <si>
    <t>34.4041675291082</t>
  </si>
  <si>
    <t>El Bibane</t>
  </si>
  <si>
    <t>15589U</t>
  </si>
  <si>
    <t>-4.85379840115888</t>
  </si>
  <si>
    <t>34.6183999680333</t>
  </si>
  <si>
    <t>Thar Es-souk (Mun.)</t>
  </si>
  <si>
    <t>15408X</t>
  </si>
  <si>
    <t>-4.27835949660986</t>
  </si>
  <si>
    <t>34.652360516174</t>
  </si>
  <si>
    <t>15481B</t>
  </si>
  <si>
    <t>-5.11295618338112</t>
  </si>
  <si>
    <t>34.4921134991387</t>
  </si>
  <si>
    <t>23994E</t>
  </si>
  <si>
    <t>-5.06335416046607</t>
  </si>
  <si>
    <t>34.4711215149459</t>
  </si>
  <si>
    <t>Sidi YahyaBni Zeroual</t>
  </si>
  <si>
    <t>15604K</t>
  </si>
  <si>
    <t>-4.98323020850727</t>
  </si>
  <si>
    <t>34.6820197814877</t>
  </si>
  <si>
    <t>15602H</t>
  </si>
  <si>
    <t>-4.99139468661542</t>
  </si>
  <si>
    <t>34.6563955459177</t>
  </si>
  <si>
    <t>15597C</t>
  </si>
  <si>
    <t>-5.02211743247346</t>
  </si>
  <si>
    <t>34.7009164172588</t>
  </si>
  <si>
    <t>20183M</t>
  </si>
  <si>
    <t>-4.93474807356471</t>
  </si>
  <si>
    <t>34.672761321278</t>
  </si>
  <si>
    <t>15608P</t>
  </si>
  <si>
    <t>-4.81118639463636</t>
  </si>
  <si>
    <t>34.6365430144485</t>
  </si>
  <si>
    <t>Loulja</t>
  </si>
  <si>
    <t>15454X</t>
  </si>
  <si>
    <t>-4.90311661224183</t>
  </si>
  <si>
    <t>34.2625963173662</t>
  </si>
  <si>
    <t>Sidi El Abed</t>
  </si>
  <si>
    <t>15440G</t>
  </si>
  <si>
    <t>-4.98717722055221</t>
  </si>
  <si>
    <t>34.299774894196</t>
  </si>
  <si>
    <t>15445M</t>
  </si>
  <si>
    <t>-5.08103708109638</t>
  </si>
  <si>
    <t>34.3369129430778</t>
  </si>
  <si>
    <t>15443K</t>
  </si>
  <si>
    <t>-4.95910811504739</t>
  </si>
  <si>
    <t>34.3391855056066</t>
  </si>
  <si>
    <t>15442J</t>
  </si>
  <si>
    <t>-5.041249</t>
  </si>
  <si>
    <t>34.312464</t>
  </si>
  <si>
    <t>Ghafsai (Mun.)</t>
  </si>
  <si>
    <t>15401P</t>
  </si>
  <si>
    <t>-4.902598</t>
  </si>
  <si>
    <t>34.625077</t>
  </si>
  <si>
    <t>15400N</t>
  </si>
  <si>
    <t>-4.916505</t>
  </si>
  <si>
    <t>34.634032</t>
  </si>
  <si>
    <t>Bni Ounjel Tafraout</t>
  </si>
  <si>
    <t>15772T</t>
  </si>
  <si>
    <t>-4.36068484273124</t>
  </si>
  <si>
    <t>34.6416777260462</t>
  </si>
  <si>
    <t>15398L</t>
  </si>
  <si>
    <t>-5.20846349080696</t>
  </si>
  <si>
    <t>34.3697432462344</t>
  </si>
  <si>
    <t>15656S</t>
  </si>
  <si>
    <t>-5.13505118156672</t>
  </si>
  <si>
    <t>34.6501173922039</t>
  </si>
  <si>
    <t>Sidi Haj M'hamed</t>
  </si>
  <si>
    <t>15569X</t>
  </si>
  <si>
    <t>-4.97567586554873</t>
  </si>
  <si>
    <t>34.7345687055813</t>
  </si>
  <si>
    <t>20177F</t>
  </si>
  <si>
    <t>-5.00238814319817</t>
  </si>
  <si>
    <t>34.7833336044623</t>
  </si>
  <si>
    <t>15568W</t>
  </si>
  <si>
    <t>-5.00970440143692</t>
  </si>
  <si>
    <t>34.7428731568707</t>
  </si>
  <si>
    <t>Tabouda</t>
  </si>
  <si>
    <t>15648H</t>
  </si>
  <si>
    <t>-5.10914727392747</t>
  </si>
  <si>
    <t>34.7591791542945</t>
  </si>
  <si>
    <t>15644D</t>
  </si>
  <si>
    <t>-5.04734036086892</t>
  </si>
  <si>
    <t>34.7313588147575</t>
  </si>
  <si>
    <t>15639Y</t>
  </si>
  <si>
    <t>-5.13676195829771</t>
  </si>
  <si>
    <t>34.7351636062155</t>
  </si>
  <si>
    <t>Mkansa</t>
  </si>
  <si>
    <t>15509G</t>
  </si>
  <si>
    <t>-5.36964365583003</t>
  </si>
  <si>
    <t>34.323531772973</t>
  </si>
  <si>
    <t>15502Z</t>
  </si>
  <si>
    <t>-5.33622358774834</t>
  </si>
  <si>
    <t>34.2631546749483</t>
  </si>
  <si>
    <t>15505C</t>
  </si>
  <si>
    <t>-5.43244502751593</t>
  </si>
  <si>
    <t>34.3761425173633</t>
  </si>
  <si>
    <t>15503A</t>
  </si>
  <si>
    <t>-5.38324038983205</t>
  </si>
  <si>
    <t>34.2808841462863</t>
  </si>
  <si>
    <t>15510H</t>
  </si>
  <si>
    <t>-5.39813786636938</t>
  </si>
  <si>
    <t>34.3103348514722</t>
  </si>
  <si>
    <t>23993D</t>
  </si>
  <si>
    <t>-5.36051046398665</t>
  </si>
  <si>
    <t>34.2727176294151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</si>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</sst>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d\-m\-yyyy"/>
  </numFmts>
  <fonts count="15" x14ac:knownFonts="1">
    <font>
      <sz val="10"/>
      <color rgb="FF000000"/>
      <name val="Arial"/>
      <scheme val="minor"/>
    </font>
    <font>
      <b/>
      <sz val="16"/>
      <color rgb="FFFFFFFF"/>
      <name val="Arial"/>
    </font>
    <font>
      <sz val="10"/>
      <name val="Arial"/>
    </font>
    <font>
      <b/>
      <sz val="12"/>
      <color theme="1"/>
      <name val="Arial"/>
    </font>
    <font>
      <b/>
      <sz val="11"/>
      <color theme="1"/>
      <name val="Arial"/>
    </font>
    <font>
      <b/>
      <sz val="12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2"/>
      <color theme="1"/>
      <name val="Calibri"/>
    </font>
    <font>
      <b/>
      <sz val="30"/>
      <color theme="1"/>
      <name val="Calibri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3"/>
      <color theme="1"/>
      <name val="Arial"/>
    </font>
    <font>
      <b/>
      <sz val="30"/>
      <color theme="1"/>
      <name val="Arial"/>
    </font>
    <font>
      <b/>
      <sz val="17"/>
      <color theme="1"/>
      <name val="Arial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D9D2E9"/>
        <bgColor rgb="FFD9D2E9"/>
      </patternFill>
    </fill>
    <fill>
      <patternFill patternType="solid">
        <fgColor rgb="FF93C47D"/>
        <bgColor rgb="FF93C47D"/>
      </patternFill>
    </fill>
    <fill>
      <patternFill patternType="solid">
        <fgColor rgb="FF6AA84F"/>
        <bgColor rgb="FF6AA84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A4C2F4"/>
        <bgColor rgb="FFA4C2F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4" fillId="4" borderId="12" xfId="0" applyFont="1" applyFill="1" applyBorder="1" applyAlignment="1">
      <alignment horizontal="center"/>
    </xf>
    <xf numFmtId="0" fontId="6" fillId="4" borderId="12" xfId="0" applyFont="1" applyFill="1" applyBorder="1" applyAlignment="1">
      <alignment horizontal="center"/>
    </xf>
    <xf numFmtId="0" fontId="4" fillId="5" borderId="12" xfId="0" applyFont="1" applyFill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7" fillId="4" borderId="12" xfId="0" applyFont="1" applyFill="1" applyBorder="1" applyAlignment="1">
      <alignment horizontal="center" vertical="center"/>
    </xf>
    <xf numFmtId="164" fontId="6" fillId="4" borderId="12" xfId="0" applyNumberFormat="1" applyFont="1" applyFill="1" applyBorder="1" applyAlignment="1">
      <alignment horizontal="center"/>
    </xf>
    <xf numFmtId="164" fontId="7" fillId="4" borderId="12" xfId="0" applyNumberFormat="1" applyFont="1" applyFill="1" applyBorder="1"/>
    <xf numFmtId="14" fontId="7" fillId="4" borderId="12" xfId="0" applyNumberFormat="1" applyFont="1" applyFill="1" applyBorder="1" applyAlignment="1">
      <alignment horizontal="center"/>
    </xf>
    <xf numFmtId="0" fontId="6" fillId="4" borderId="12" xfId="0" applyFont="1" applyFill="1" applyBorder="1" applyAlignment="1">
      <alignment horizontal="center" vertical="center"/>
    </xf>
    <xf numFmtId="0" fontId="7" fillId="4" borderId="12" xfId="0" applyFont="1" applyFill="1" applyBorder="1"/>
    <xf numFmtId="165" fontId="6" fillId="0" borderId="0" xfId="0" applyNumberFormat="1" applyFont="1" applyAlignment="1">
      <alignment horizontal="center"/>
    </xf>
    <xf numFmtId="165" fontId="6" fillId="4" borderId="12" xfId="0" applyNumberFormat="1" applyFont="1" applyFill="1" applyBorder="1" applyAlignment="1">
      <alignment horizontal="center"/>
    </xf>
    <xf numFmtId="165" fontId="10" fillId="0" borderId="0" xfId="0" applyNumberFormat="1" applyFont="1" applyAlignment="1">
      <alignment horizontal="center"/>
    </xf>
    <xf numFmtId="165" fontId="6" fillId="4" borderId="12" xfId="0" applyNumberFormat="1" applyFont="1" applyFill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165" fontId="10" fillId="0" borderId="5" xfId="0" applyNumberFormat="1" applyFont="1" applyBorder="1" applyAlignment="1">
      <alignment horizontal="center"/>
    </xf>
    <xf numFmtId="14" fontId="6" fillId="4" borderId="12" xfId="0" applyNumberFormat="1" applyFont="1" applyFill="1" applyBorder="1" applyAlignment="1">
      <alignment horizontal="center"/>
    </xf>
    <xf numFmtId="0" fontId="6" fillId="4" borderId="12" xfId="0" applyFont="1" applyFill="1" applyBorder="1"/>
    <xf numFmtId="0" fontId="7" fillId="4" borderId="12" xfId="0" applyFont="1" applyFill="1" applyBorder="1" applyAlignment="1">
      <alignment horizontal="center"/>
    </xf>
    <xf numFmtId="0" fontId="14" fillId="12" borderId="12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10" fontId="11" fillId="0" borderId="0" xfId="0" applyNumberFormat="1" applyFont="1"/>
    <xf numFmtId="0" fontId="7" fillId="4" borderId="13" xfId="0" applyFont="1" applyFill="1" applyBorder="1"/>
    <xf numFmtId="0" fontId="2" fillId="0" borderId="14" xfId="0" applyFont="1" applyBorder="1"/>
    <xf numFmtId="0" fontId="2" fillId="0" borderId="15" xfId="0" applyFont="1" applyBorder="1"/>
    <xf numFmtId="0" fontId="3" fillId="3" borderId="1" xfId="0" applyFont="1" applyFill="1" applyBorder="1" applyAlignment="1">
      <alignment horizontal="center" vertical="center"/>
    </xf>
    <xf numFmtId="0" fontId="2" fillId="0" borderId="9" xfId="0" applyFont="1" applyBorder="1"/>
    <xf numFmtId="0" fontId="2" fillId="0" borderId="11" xfId="0" applyFont="1" applyBorder="1"/>
    <xf numFmtId="0" fontId="14" fillId="12" borderId="1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10" xfId="0" applyFont="1" applyBorder="1"/>
    <xf numFmtId="0" fontId="3" fillId="3" borderId="2" xfId="0" applyFont="1" applyFill="1" applyBorder="1" applyAlignment="1">
      <alignment horizontal="center" vertical="center" wrapText="1"/>
    </xf>
    <xf numFmtId="0" fontId="2" fillId="0" borderId="3" xfId="0" applyFont="1" applyBorder="1"/>
    <xf numFmtId="0" fontId="0" fillId="0" borderId="0" xfId="0"/>
    <xf numFmtId="0" fontId="2" fillId="0" borderId="8" xfId="0" applyFont="1" applyBorder="1"/>
    <xf numFmtId="0" fontId="13" fillId="11" borderId="1" xfId="0" applyFont="1" applyFill="1" applyBorder="1" applyAlignment="1">
      <alignment horizontal="center" vertical="center" textRotation="180"/>
    </xf>
    <xf numFmtId="10" fontId="14" fillId="12" borderId="14" xfId="0" applyNumberFormat="1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8" fillId="5" borderId="1" xfId="0" applyFont="1" applyFill="1" applyBorder="1" applyAlignment="1">
      <alignment horizontal="center" vertical="center" wrapText="1" readingOrder="2"/>
    </xf>
    <xf numFmtId="0" fontId="9" fillId="5" borderId="1" xfId="0" applyFont="1" applyFill="1" applyBorder="1" applyAlignment="1">
      <alignment horizontal="center" vertical="center" textRotation="180" wrapText="1" readingOrder="2"/>
    </xf>
    <xf numFmtId="0" fontId="12" fillId="10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 textRotation="180"/>
    </xf>
    <xf numFmtId="0" fontId="3" fillId="11" borderId="1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wrapText="1"/>
    </xf>
    <xf numFmtId="0" fontId="7" fillId="4" borderId="13" xfId="0" applyFont="1" applyFill="1" applyBorder="1" applyAlignment="1">
      <alignment horizontal="center"/>
    </xf>
    <xf numFmtId="0" fontId="7" fillId="0" borderId="12" xfId="0" applyNumberFormat="1" applyFont="1" applyBorder="1" applyAlignment="1">
      <alignment horizontal="center"/>
    </xf>
    <xf numFmtId="0" fontId="11" fillId="0" borderId="0" xfId="0" applyNumberFormat="1" applyFont="1"/>
    <xf numFmtId="0" fontId="0" fillId="0" borderId="0" xfId="0" applyNumberFormat="1"/>
    <xf numFmtId="0" fontId="4" fillId="6" borderId="12" xfId="0" applyNumberFormat="1" applyFont="1" applyFill="1" applyBorder="1"/>
    <xf numFmtId="0" fontId="4" fillId="7" borderId="12" xfId="0" applyNumberFormat="1" applyFont="1" applyFill="1" applyBorder="1"/>
    <xf numFmtId="0" fontId="4" fillId="8" borderId="12" xfId="0" applyNumberFormat="1" applyFont="1" applyFill="1" applyBorder="1"/>
    <xf numFmtId="0" fontId="4" fillId="9" borderId="12" xfId="0" applyNumberFormat="1" applyFont="1" applyFill="1" applyBorder="1"/>
  </cellXfs>
  <cellStyles count="1">
    <cellStyle name="Normal" xfId="0" builtinId="0"/>
  </cellStyles>
  <dxfs count="2">
    <dxf>
      <fill>
        <patternFill patternType="solid">
          <fgColor rgb="FF6D9EEB"/>
          <bgColor rgb="FF6D9EEB"/>
        </patternFill>
      </fill>
    </dxf>
    <dxf>
      <font>
        <color theme="0"/>
      </font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AA84F"/>
    <outlinePr summaryBelow="0" summaryRight="0"/>
  </sheetPr>
  <dimension ref="A1:W997"/>
  <sheetViews>
    <sheetView tabSelected="1" topLeftCell="L1" workbookViewId="0">
      <selection activeCell="T11" sqref="T11:W11"/>
    </sheetView>
  </sheetViews>
  <sheetFormatPr defaultColWidth="12.6640625" defaultRowHeight="15.75" customHeight="1" x14ac:dyDescent="0.25"/>
  <cols>
    <col min="1" max="1" width="6.44140625" customWidth="1"/>
    <col min="2" max="2" width="23.33203125" customWidth="1"/>
    <col min="3" max="3" width="11.109375" customWidth="1"/>
    <col min="4" max="4" width="12" customWidth="1"/>
    <col min="5" max="5" width="16.109375" customWidth="1"/>
    <col min="6" max="6" width="35.21875" customWidth="1"/>
    <col min="7" max="7" width="16.109375" customWidth="1"/>
    <col min="8" max="8" width="17.33203125" customWidth="1"/>
    <col min="9" max="9" width="16.77734375" customWidth="1"/>
    <col min="10" max="10" width="15" customWidth="1"/>
    <col min="11" max="12" width="16.77734375" customWidth="1"/>
    <col min="13" max="14" width="15.109375" style="53" customWidth="1"/>
    <col min="15" max="15" width="7.33203125" customWidth="1"/>
    <col min="17" max="17" width="13.33203125" customWidth="1"/>
    <col min="18" max="18" width="13.88671875" customWidth="1"/>
  </cols>
  <sheetData>
    <row r="1" spans="1:23" ht="15.75" customHeight="1" x14ac:dyDescent="0.4">
      <c r="A1" s="49" t="s">
        <v>2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5"/>
    </row>
    <row r="2" spans="1:23" ht="15.75" customHeight="1" x14ac:dyDescent="0.25">
      <c r="A2" s="26" t="s">
        <v>3</v>
      </c>
      <c r="B2" s="26" t="s">
        <v>4</v>
      </c>
      <c r="C2" s="26" t="s">
        <v>5</v>
      </c>
      <c r="D2" s="26" t="s">
        <v>7</v>
      </c>
      <c r="E2" s="26" t="s">
        <v>9</v>
      </c>
      <c r="F2" s="26" t="s">
        <v>0</v>
      </c>
      <c r="G2" s="26" t="s">
        <v>1</v>
      </c>
      <c r="H2" s="26" t="s">
        <v>10</v>
      </c>
      <c r="I2" s="26" t="s">
        <v>11</v>
      </c>
      <c r="J2" s="30" t="s">
        <v>12</v>
      </c>
      <c r="K2" s="30" t="s">
        <v>13</v>
      </c>
      <c r="L2" s="26" t="s">
        <v>14</v>
      </c>
      <c r="M2" s="31" t="s">
        <v>15</v>
      </c>
      <c r="N2" s="32"/>
      <c r="O2" s="37" t="s">
        <v>16</v>
      </c>
      <c r="P2" s="32"/>
      <c r="Q2" s="43" t="s">
        <v>17</v>
      </c>
      <c r="R2" s="30" t="s">
        <v>18</v>
      </c>
      <c r="S2" s="30" t="s">
        <v>19</v>
      </c>
      <c r="T2" s="37" t="s">
        <v>20</v>
      </c>
      <c r="U2" s="38"/>
      <c r="V2" s="38"/>
      <c r="W2" s="32"/>
    </row>
    <row r="3" spans="1:23" ht="15.75" customHeight="1" x14ac:dyDescent="0.25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33"/>
      <c r="N3" s="34"/>
      <c r="O3" s="33"/>
      <c r="P3" s="34"/>
      <c r="Q3" s="39"/>
      <c r="R3" s="27"/>
      <c r="S3" s="27"/>
      <c r="T3" s="33"/>
      <c r="U3" s="39"/>
      <c r="V3" s="39"/>
      <c r="W3" s="34"/>
    </row>
    <row r="4" spans="1:23" ht="15.75" customHeight="1" x14ac:dyDescent="0.25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35"/>
      <c r="N4" s="36"/>
      <c r="O4" s="35"/>
      <c r="P4" s="36"/>
      <c r="Q4" s="39"/>
      <c r="R4" s="28"/>
      <c r="S4" s="28"/>
      <c r="T4" s="35"/>
      <c r="U4" s="40"/>
      <c r="V4" s="40"/>
      <c r="W4" s="36"/>
    </row>
    <row r="5" spans="1:23" ht="15.75" customHeight="1" x14ac:dyDescent="0.25">
      <c r="A5" s="2">
        <v>1</v>
      </c>
      <c r="B5" s="1" t="s">
        <v>27</v>
      </c>
      <c r="C5" s="1" t="s">
        <v>28</v>
      </c>
      <c r="D5" s="1" t="s">
        <v>29</v>
      </c>
      <c r="E5" s="3" t="s">
        <v>8</v>
      </c>
      <c r="F5" s="1" t="s">
        <v>6</v>
      </c>
      <c r="G5" s="1" t="s">
        <v>8</v>
      </c>
      <c r="H5" s="1" t="s">
        <v>30</v>
      </c>
      <c r="I5" s="1" t="s">
        <v>31</v>
      </c>
      <c r="J5" s="4">
        <v>138</v>
      </c>
      <c r="K5" s="4"/>
      <c r="L5" s="4">
        <v>4</v>
      </c>
      <c r="M5" s="51" t="b">
        <v>0</v>
      </c>
      <c r="N5" s="54" t="str">
        <f>IF(M5=TRUE,"Terminé",IF(M5=FALSE,"en encore","En cours"))</f>
        <v>en encore</v>
      </c>
      <c r="O5" s="44">
        <f>COUNTA(N5:N29)</f>
        <v>25</v>
      </c>
      <c r="P5" s="45" t="s">
        <v>35</v>
      </c>
      <c r="Q5" s="5"/>
      <c r="R5" s="6">
        <v>46135</v>
      </c>
      <c r="S5" s="8"/>
      <c r="T5" s="23" t="s">
        <v>40</v>
      </c>
      <c r="U5" s="24"/>
      <c r="V5" s="24"/>
      <c r="W5" s="25"/>
    </row>
    <row r="6" spans="1:23" ht="15.75" customHeight="1" x14ac:dyDescent="0.25">
      <c r="A6" s="2">
        <f t="shared" ref="A6:A100" si="0">SUM(A5+1)</f>
        <v>2</v>
      </c>
      <c r="B6" s="1" t="s">
        <v>27</v>
      </c>
      <c r="C6" s="1" t="s">
        <v>28</v>
      </c>
      <c r="D6" s="1" t="s">
        <v>41</v>
      </c>
      <c r="E6" s="3" t="s">
        <v>21</v>
      </c>
      <c r="F6" s="1" t="s">
        <v>6</v>
      </c>
      <c r="G6" s="1" t="s">
        <v>21</v>
      </c>
      <c r="H6" s="1" t="s">
        <v>44</v>
      </c>
      <c r="I6" s="1" t="s">
        <v>45</v>
      </c>
      <c r="J6" s="4">
        <v>112</v>
      </c>
      <c r="K6" s="4"/>
      <c r="L6" s="4">
        <v>3</v>
      </c>
      <c r="M6" s="51" t="b">
        <v>0</v>
      </c>
      <c r="N6" s="55" t="str">
        <f t="shared" ref="N6:N12" si="1">IF(M6=TRUE,"Terminé",IF(M6=FALSE,"Pas encore","En cours"))</f>
        <v>Pas encore</v>
      </c>
      <c r="O6" s="27"/>
      <c r="P6" s="27"/>
      <c r="Q6" s="5"/>
      <c r="R6" s="6"/>
      <c r="S6" s="8"/>
      <c r="T6" s="23"/>
      <c r="U6" s="24"/>
      <c r="V6" s="24"/>
      <c r="W6" s="25"/>
    </row>
    <row r="7" spans="1:23" ht="15.75" customHeight="1" x14ac:dyDescent="0.25">
      <c r="A7" s="2">
        <f t="shared" si="0"/>
        <v>3</v>
      </c>
      <c r="B7" s="1" t="s">
        <v>27</v>
      </c>
      <c r="C7" s="1" t="s">
        <v>28</v>
      </c>
      <c r="D7" s="1" t="s">
        <v>49</v>
      </c>
      <c r="E7" s="3" t="s">
        <v>23</v>
      </c>
      <c r="F7" s="1" t="s">
        <v>22</v>
      </c>
      <c r="G7" s="1" t="s">
        <v>23</v>
      </c>
      <c r="H7" s="1" t="s">
        <v>50</v>
      </c>
      <c r="I7" s="1" t="s">
        <v>51</v>
      </c>
      <c r="J7" s="4">
        <v>82</v>
      </c>
      <c r="K7" s="4"/>
      <c r="L7" s="4">
        <v>2</v>
      </c>
      <c r="M7" s="51" t="b">
        <v>0</v>
      </c>
      <c r="N7" s="55" t="str">
        <f t="shared" si="1"/>
        <v>Pas encore</v>
      </c>
      <c r="O7" s="27"/>
      <c r="P7" s="27"/>
      <c r="Q7" s="5"/>
      <c r="R7" s="7"/>
      <c r="S7" s="8"/>
      <c r="T7" s="23"/>
      <c r="U7" s="24"/>
      <c r="V7" s="24"/>
      <c r="W7" s="25"/>
    </row>
    <row r="8" spans="1:23" ht="15.75" customHeight="1" x14ac:dyDescent="0.25">
      <c r="A8" s="2">
        <f t="shared" si="0"/>
        <v>4</v>
      </c>
      <c r="B8" s="1" t="s">
        <v>53</v>
      </c>
      <c r="C8" s="1" t="s">
        <v>54</v>
      </c>
      <c r="D8" s="1" t="s">
        <v>55</v>
      </c>
      <c r="E8" s="3" t="s">
        <v>24</v>
      </c>
      <c r="F8" s="1" t="s">
        <v>22</v>
      </c>
      <c r="G8" s="1" t="s">
        <v>24</v>
      </c>
      <c r="H8" s="1" t="s">
        <v>56</v>
      </c>
      <c r="I8" s="1" t="s">
        <v>57</v>
      </c>
      <c r="J8" s="4">
        <v>42</v>
      </c>
      <c r="K8" s="4">
        <v>33</v>
      </c>
      <c r="L8" s="4">
        <v>2</v>
      </c>
      <c r="M8" s="51" t="b">
        <v>1</v>
      </c>
      <c r="N8" s="56" t="str">
        <f t="shared" si="1"/>
        <v>Terminé</v>
      </c>
      <c r="O8" s="27"/>
      <c r="P8" s="27"/>
      <c r="Q8" s="9">
        <f>SUM(S8-R8)</f>
        <v>6</v>
      </c>
      <c r="R8" s="6">
        <v>46127</v>
      </c>
      <c r="S8" s="11">
        <v>46133</v>
      </c>
      <c r="T8" s="23"/>
      <c r="U8" s="24"/>
      <c r="V8" s="24"/>
      <c r="W8" s="25"/>
    </row>
    <row r="9" spans="1:23" ht="15.75" customHeight="1" x14ac:dyDescent="0.25">
      <c r="A9" s="2">
        <f t="shared" si="0"/>
        <v>5</v>
      </c>
      <c r="B9" s="1" t="s">
        <v>53</v>
      </c>
      <c r="C9" s="1" t="s">
        <v>54</v>
      </c>
      <c r="D9" s="1" t="s">
        <v>60</v>
      </c>
      <c r="E9" s="3" t="s">
        <v>26</v>
      </c>
      <c r="F9" s="1" t="s">
        <v>25</v>
      </c>
      <c r="G9" s="1" t="s">
        <v>24</v>
      </c>
      <c r="H9" s="1" t="s">
        <v>62</v>
      </c>
      <c r="I9" s="1" t="s">
        <v>63</v>
      </c>
      <c r="J9" s="4">
        <v>34</v>
      </c>
      <c r="K9" s="4">
        <v>30</v>
      </c>
      <c r="L9" s="4">
        <v>1</v>
      </c>
      <c r="M9" s="51" t="b">
        <v>1</v>
      </c>
      <c r="N9" s="56" t="str">
        <f t="shared" si="1"/>
        <v>Terminé</v>
      </c>
      <c r="O9" s="27"/>
      <c r="P9" s="27"/>
      <c r="Q9" s="9">
        <f>SUM(S9-R9)</f>
        <v>6</v>
      </c>
      <c r="R9" s="6">
        <v>46127</v>
      </c>
      <c r="S9" s="12">
        <v>46133</v>
      </c>
      <c r="T9" s="23"/>
      <c r="U9" s="24"/>
      <c r="V9" s="24"/>
      <c r="W9" s="25"/>
    </row>
    <row r="10" spans="1:23" ht="15.75" customHeight="1" x14ac:dyDescent="0.25">
      <c r="A10" s="2">
        <f t="shared" si="0"/>
        <v>6</v>
      </c>
      <c r="B10" s="1" t="s">
        <v>66</v>
      </c>
      <c r="C10" s="1" t="s">
        <v>54</v>
      </c>
      <c r="D10" s="1" t="s">
        <v>67</v>
      </c>
      <c r="E10" s="3" t="s">
        <v>32</v>
      </c>
      <c r="F10" s="1" t="s">
        <v>22</v>
      </c>
      <c r="G10" s="1" t="s">
        <v>32</v>
      </c>
      <c r="H10" s="1" t="s">
        <v>69</v>
      </c>
      <c r="I10" s="1" t="s">
        <v>70</v>
      </c>
      <c r="J10" s="4">
        <v>41</v>
      </c>
      <c r="K10" s="4">
        <v>124</v>
      </c>
      <c r="L10" s="4">
        <v>4</v>
      </c>
      <c r="M10" s="51" t="b">
        <v>1</v>
      </c>
      <c r="N10" s="56" t="str">
        <f t="shared" si="1"/>
        <v>Terminé</v>
      </c>
      <c r="O10" s="27"/>
      <c r="P10" s="27"/>
      <c r="Q10" s="9">
        <f>SUM(S10-R10)</f>
        <v>14</v>
      </c>
      <c r="R10" s="13">
        <v>46111</v>
      </c>
      <c r="S10" s="14">
        <v>46125</v>
      </c>
      <c r="T10" s="23"/>
      <c r="U10" s="24"/>
      <c r="V10" s="24"/>
      <c r="W10" s="25"/>
    </row>
    <row r="11" spans="1:23" ht="15.75" customHeight="1" x14ac:dyDescent="0.25">
      <c r="A11" s="2">
        <f t="shared" si="0"/>
        <v>7</v>
      </c>
      <c r="B11" s="1" t="s">
        <v>72</v>
      </c>
      <c r="C11" s="1" t="s">
        <v>54</v>
      </c>
      <c r="D11" s="1" t="s">
        <v>74</v>
      </c>
      <c r="E11" s="3" t="s">
        <v>34</v>
      </c>
      <c r="F11" s="1" t="s">
        <v>25</v>
      </c>
      <c r="G11" s="1" t="s">
        <v>33</v>
      </c>
      <c r="H11" s="1" t="s">
        <v>75</v>
      </c>
      <c r="I11" s="1" t="s">
        <v>76</v>
      </c>
      <c r="J11" s="4">
        <v>34</v>
      </c>
      <c r="K11" s="4">
        <v>14</v>
      </c>
      <c r="L11" s="4">
        <v>1</v>
      </c>
      <c r="M11" s="51" t="b">
        <v>1</v>
      </c>
      <c r="N11" s="56" t="str">
        <f t="shared" si="1"/>
        <v>Terminé</v>
      </c>
      <c r="O11" s="27"/>
      <c r="P11" s="27"/>
      <c r="Q11" s="9">
        <f>SUM(S11-R11)</f>
        <v>2</v>
      </c>
      <c r="R11" s="6">
        <v>46139</v>
      </c>
      <c r="S11" s="12">
        <v>46141</v>
      </c>
      <c r="T11" s="23"/>
      <c r="U11" s="24"/>
      <c r="V11" s="24"/>
      <c r="W11" s="25"/>
    </row>
    <row r="12" spans="1:23" ht="15.75" customHeight="1" x14ac:dyDescent="0.25">
      <c r="A12" s="2">
        <f t="shared" si="0"/>
        <v>8</v>
      </c>
      <c r="B12" s="1" t="s">
        <v>80</v>
      </c>
      <c r="C12" s="1" t="s">
        <v>54</v>
      </c>
      <c r="D12" s="1" t="s">
        <v>81</v>
      </c>
      <c r="E12" s="3" t="s">
        <v>37</v>
      </c>
      <c r="F12" s="1" t="s">
        <v>25</v>
      </c>
      <c r="G12" s="1" t="s">
        <v>36</v>
      </c>
      <c r="H12" s="1" t="s">
        <v>82</v>
      </c>
      <c r="I12" s="1" t="s">
        <v>83</v>
      </c>
      <c r="J12" s="4">
        <v>33</v>
      </c>
      <c r="K12" s="4">
        <v>20</v>
      </c>
      <c r="L12" s="4">
        <v>1</v>
      </c>
      <c r="M12" s="51" t="b">
        <v>1</v>
      </c>
      <c r="N12" s="56" t="str">
        <f t="shared" si="1"/>
        <v>Terminé</v>
      </c>
      <c r="O12" s="27"/>
      <c r="P12" s="27"/>
      <c r="Q12" s="15"/>
      <c r="R12" s="16">
        <v>46177</v>
      </c>
      <c r="S12" s="17">
        <v>46179</v>
      </c>
      <c r="T12" s="23"/>
      <c r="U12" s="24"/>
      <c r="V12" s="24"/>
      <c r="W12" s="25"/>
    </row>
    <row r="13" spans="1:23" ht="15.75" customHeight="1" x14ac:dyDescent="0.25">
      <c r="A13" s="2">
        <f t="shared" si="0"/>
        <v>9</v>
      </c>
      <c r="B13" s="1" t="s">
        <v>80</v>
      </c>
      <c r="C13" s="1" t="s">
        <v>54</v>
      </c>
      <c r="D13" s="1" t="s">
        <v>95</v>
      </c>
      <c r="E13" s="3" t="s">
        <v>39</v>
      </c>
      <c r="F13" s="1" t="s">
        <v>25</v>
      </c>
      <c r="G13" s="1" t="s">
        <v>38</v>
      </c>
      <c r="H13" s="1" t="s">
        <v>96</v>
      </c>
      <c r="I13" s="1" t="s">
        <v>97</v>
      </c>
      <c r="J13" s="4">
        <v>29</v>
      </c>
      <c r="K13" s="4">
        <v>28</v>
      </c>
      <c r="L13" s="4">
        <v>1</v>
      </c>
      <c r="M13" s="51" t="b">
        <v>1</v>
      </c>
      <c r="N13" s="57" t="str">
        <f>IF(M5=TRUE,"Terminé",IF(M5=FALSE,"Terminé","En cours"))</f>
        <v>Terminé</v>
      </c>
      <c r="O13" s="27"/>
      <c r="P13" s="27"/>
      <c r="Q13" s="5"/>
      <c r="R13" s="12">
        <v>46190</v>
      </c>
      <c r="S13" s="6">
        <v>46193</v>
      </c>
      <c r="T13" s="23"/>
      <c r="U13" s="24"/>
      <c r="V13" s="24"/>
      <c r="W13" s="25"/>
    </row>
    <row r="14" spans="1:23" ht="15.75" customHeight="1" x14ac:dyDescent="0.25">
      <c r="A14" s="2">
        <f t="shared" si="0"/>
        <v>10</v>
      </c>
      <c r="B14" s="1" t="s">
        <v>101</v>
      </c>
      <c r="C14" s="1" t="s">
        <v>54</v>
      </c>
      <c r="D14" s="1" t="s">
        <v>103</v>
      </c>
      <c r="E14" s="3" t="s">
        <v>43</v>
      </c>
      <c r="F14" s="1" t="s">
        <v>25</v>
      </c>
      <c r="G14" s="1" t="s">
        <v>42</v>
      </c>
      <c r="H14" s="1" t="s">
        <v>104</v>
      </c>
      <c r="I14" s="1" t="s">
        <v>105</v>
      </c>
      <c r="J14" s="4">
        <v>37</v>
      </c>
      <c r="K14" s="4"/>
      <c r="L14" s="4">
        <v>2</v>
      </c>
      <c r="M14" s="51" t="b">
        <v>0</v>
      </c>
      <c r="N14" s="55" t="str">
        <f t="shared" ref="N14:N15" si="2">IF(M14=TRUE,"Terminé",IF(M14=FALSE,"Pas encore","En cours"))</f>
        <v>Pas encore</v>
      </c>
      <c r="O14" s="27"/>
      <c r="P14" s="27"/>
      <c r="Q14" s="5"/>
      <c r="R14" s="18"/>
      <c r="S14" s="19"/>
      <c r="T14" s="23"/>
      <c r="U14" s="24"/>
      <c r="V14" s="24"/>
      <c r="W14" s="25"/>
    </row>
    <row r="15" spans="1:23" ht="15.75" customHeight="1" x14ac:dyDescent="0.25">
      <c r="A15" s="2">
        <f t="shared" si="0"/>
        <v>11</v>
      </c>
      <c r="B15" s="1" t="s">
        <v>109</v>
      </c>
      <c r="C15" s="1" t="s">
        <v>54</v>
      </c>
      <c r="D15" s="1" t="s">
        <v>110</v>
      </c>
      <c r="E15" s="3" t="s">
        <v>47</v>
      </c>
      <c r="F15" s="1" t="s">
        <v>25</v>
      </c>
      <c r="G15" s="1" t="s">
        <v>46</v>
      </c>
      <c r="H15" s="1" t="s">
        <v>112</v>
      </c>
      <c r="I15" s="1" t="s">
        <v>113</v>
      </c>
      <c r="J15" s="4">
        <v>33</v>
      </c>
      <c r="K15" s="4">
        <v>28</v>
      </c>
      <c r="L15" s="4">
        <v>1</v>
      </c>
      <c r="M15" s="51" t="b">
        <v>1</v>
      </c>
      <c r="N15" s="56" t="str">
        <f t="shared" si="2"/>
        <v>Terminé</v>
      </c>
      <c r="O15" s="27"/>
      <c r="P15" s="27"/>
      <c r="Q15" s="5"/>
      <c r="R15" s="6">
        <v>46162</v>
      </c>
      <c r="S15" s="17">
        <v>46164</v>
      </c>
      <c r="T15" s="23"/>
      <c r="U15" s="24"/>
      <c r="V15" s="24"/>
      <c r="W15" s="25"/>
    </row>
    <row r="16" spans="1:23" ht="15.75" customHeight="1" x14ac:dyDescent="0.25">
      <c r="A16" s="2">
        <f t="shared" si="0"/>
        <v>12</v>
      </c>
      <c r="B16" s="1" t="s">
        <v>116</v>
      </c>
      <c r="C16" s="1" t="s">
        <v>54</v>
      </c>
      <c r="D16" s="1" t="s">
        <v>117</v>
      </c>
      <c r="E16" s="3" t="s">
        <v>48</v>
      </c>
      <c r="F16" s="1" t="s">
        <v>22</v>
      </c>
      <c r="G16" s="1" t="s">
        <v>48</v>
      </c>
      <c r="H16" s="1" t="s">
        <v>118</v>
      </c>
      <c r="I16" s="1" t="s">
        <v>119</v>
      </c>
      <c r="J16" s="4">
        <v>38</v>
      </c>
      <c r="K16" s="4">
        <v>29</v>
      </c>
      <c r="L16" s="4">
        <v>1</v>
      </c>
      <c r="M16" s="51" t="b">
        <v>1</v>
      </c>
      <c r="N16" s="56" t="str">
        <f>IF(M16=TRUE,"Terminé",IF(M16=FALSE,"en encore","En cours"))</f>
        <v>Terminé</v>
      </c>
      <c r="O16" s="27"/>
      <c r="P16" s="27"/>
      <c r="Q16" s="5"/>
      <c r="R16" s="12">
        <v>46183</v>
      </c>
      <c r="S16" s="6">
        <v>46185</v>
      </c>
      <c r="T16" s="50"/>
      <c r="U16" s="24"/>
      <c r="V16" s="24"/>
      <c r="W16" s="25"/>
    </row>
    <row r="17" spans="1:23" ht="15.75" customHeight="1" x14ac:dyDescent="0.25">
      <c r="A17" s="2">
        <f t="shared" si="0"/>
        <v>13</v>
      </c>
      <c r="B17" s="1" t="s">
        <v>123</v>
      </c>
      <c r="C17" s="1" t="s">
        <v>54</v>
      </c>
      <c r="D17" s="1" t="s">
        <v>124</v>
      </c>
      <c r="E17" s="3" t="s">
        <v>52</v>
      </c>
      <c r="F17" s="1" t="s">
        <v>22</v>
      </c>
      <c r="G17" s="1" t="s">
        <v>52</v>
      </c>
      <c r="H17" s="1" t="s">
        <v>125</v>
      </c>
      <c r="I17" s="1" t="s">
        <v>126</v>
      </c>
      <c r="J17" s="4">
        <v>32</v>
      </c>
      <c r="K17" s="4"/>
      <c r="L17" s="4">
        <v>2</v>
      </c>
      <c r="M17" s="51" t="b">
        <v>0</v>
      </c>
      <c r="N17" s="55" t="str">
        <f t="shared" ref="N17:N100" si="3">IF(M17=TRUE,"Terminé",IF(M17=FALSE,"Pas encore","En cours"))</f>
        <v>Pas encore</v>
      </c>
      <c r="O17" s="27"/>
      <c r="P17" s="27"/>
      <c r="Q17" s="5"/>
      <c r="R17" s="10"/>
      <c r="S17" s="19"/>
      <c r="T17" s="23"/>
      <c r="U17" s="24"/>
      <c r="V17" s="24"/>
      <c r="W17" s="25"/>
    </row>
    <row r="18" spans="1:23" ht="15.75" customHeight="1" x14ac:dyDescent="0.25">
      <c r="A18" s="2">
        <f t="shared" si="0"/>
        <v>14</v>
      </c>
      <c r="B18" s="1" t="s">
        <v>123</v>
      </c>
      <c r="C18" s="1" t="s">
        <v>54</v>
      </c>
      <c r="D18" s="1" t="s">
        <v>128</v>
      </c>
      <c r="E18" s="3" t="s">
        <v>58</v>
      </c>
      <c r="F18" s="1" t="s">
        <v>25</v>
      </c>
      <c r="G18" s="1" t="s">
        <v>52</v>
      </c>
      <c r="H18" s="1" t="s">
        <v>129</v>
      </c>
      <c r="I18" s="1" t="s">
        <v>130</v>
      </c>
      <c r="J18" s="4">
        <v>31</v>
      </c>
      <c r="K18" s="4"/>
      <c r="L18" s="4">
        <v>1</v>
      </c>
      <c r="M18" s="51" t="b">
        <v>0</v>
      </c>
      <c r="N18" s="55" t="str">
        <f t="shared" si="3"/>
        <v>Pas encore</v>
      </c>
      <c r="O18" s="27"/>
      <c r="P18" s="27"/>
      <c r="Q18" s="5"/>
      <c r="R18" s="10"/>
      <c r="S18" s="19"/>
      <c r="T18" s="23"/>
      <c r="U18" s="24"/>
      <c r="V18" s="24"/>
      <c r="W18" s="25"/>
    </row>
    <row r="19" spans="1:23" ht="15.75" customHeight="1" x14ac:dyDescent="0.25">
      <c r="A19" s="2">
        <f t="shared" si="0"/>
        <v>15</v>
      </c>
      <c r="B19" s="1" t="s">
        <v>132</v>
      </c>
      <c r="C19" s="1" t="s">
        <v>54</v>
      </c>
      <c r="D19" s="1" t="s">
        <v>133</v>
      </c>
      <c r="E19" s="3" t="s">
        <v>59</v>
      </c>
      <c r="F19" s="1" t="s">
        <v>22</v>
      </c>
      <c r="G19" s="1" t="s">
        <v>59</v>
      </c>
      <c r="H19" s="1" t="s">
        <v>134</v>
      </c>
      <c r="I19" s="1" t="s">
        <v>135</v>
      </c>
      <c r="J19" s="4">
        <v>30</v>
      </c>
      <c r="K19" s="4"/>
      <c r="L19" s="4">
        <v>1</v>
      </c>
      <c r="M19" s="51" t="b">
        <v>0</v>
      </c>
      <c r="N19" s="55" t="str">
        <f t="shared" si="3"/>
        <v>Pas encore</v>
      </c>
      <c r="O19" s="27"/>
      <c r="P19" s="27"/>
      <c r="Q19" s="5"/>
      <c r="R19" s="10"/>
      <c r="S19" s="19"/>
      <c r="T19" s="23"/>
      <c r="U19" s="24"/>
      <c r="V19" s="24"/>
      <c r="W19" s="25"/>
    </row>
    <row r="20" spans="1:23" ht="15.75" customHeight="1" x14ac:dyDescent="0.25">
      <c r="A20" s="2">
        <f t="shared" si="0"/>
        <v>16</v>
      </c>
      <c r="B20" s="1" t="s">
        <v>132</v>
      </c>
      <c r="C20" s="1" t="s">
        <v>54</v>
      </c>
      <c r="D20" s="1" t="s">
        <v>139</v>
      </c>
      <c r="E20" s="3" t="s">
        <v>61</v>
      </c>
      <c r="F20" s="1" t="s">
        <v>22</v>
      </c>
      <c r="G20" s="1" t="s">
        <v>61</v>
      </c>
      <c r="H20" s="1" t="s">
        <v>140</v>
      </c>
      <c r="I20" s="1" t="s">
        <v>141</v>
      </c>
      <c r="J20" s="4">
        <v>29</v>
      </c>
      <c r="K20" s="4"/>
      <c r="L20" s="4">
        <v>1</v>
      </c>
      <c r="M20" s="51" t="b">
        <v>0</v>
      </c>
      <c r="N20" s="55" t="str">
        <f t="shared" si="3"/>
        <v>Pas encore</v>
      </c>
      <c r="O20" s="27"/>
      <c r="P20" s="27"/>
      <c r="Q20" s="5"/>
      <c r="R20" s="10"/>
      <c r="S20" s="19"/>
      <c r="T20" s="23"/>
      <c r="U20" s="24"/>
      <c r="V20" s="24"/>
      <c r="W20" s="25"/>
    </row>
    <row r="21" spans="1:23" ht="15.75" customHeight="1" x14ac:dyDescent="0.25">
      <c r="A21" s="2">
        <f t="shared" si="0"/>
        <v>17</v>
      </c>
      <c r="B21" s="1" t="s">
        <v>143</v>
      </c>
      <c r="C21" s="1" t="s">
        <v>54</v>
      </c>
      <c r="D21" s="1" t="s">
        <v>144</v>
      </c>
      <c r="E21" s="3" t="s">
        <v>65</v>
      </c>
      <c r="F21" s="1" t="s">
        <v>25</v>
      </c>
      <c r="G21" s="1" t="s">
        <v>64</v>
      </c>
      <c r="H21" s="1" t="s">
        <v>146</v>
      </c>
      <c r="I21" s="1" t="s">
        <v>147</v>
      </c>
      <c r="J21" s="4">
        <v>30</v>
      </c>
      <c r="K21" s="4"/>
      <c r="L21" s="4">
        <v>1</v>
      </c>
      <c r="M21" s="51" t="b">
        <v>0</v>
      </c>
      <c r="N21" s="55" t="str">
        <f t="shared" si="3"/>
        <v>Pas encore</v>
      </c>
      <c r="O21" s="27"/>
      <c r="P21" s="27"/>
      <c r="Q21" s="5"/>
      <c r="R21" s="10"/>
      <c r="S21" s="19"/>
      <c r="T21" s="23"/>
      <c r="U21" s="24"/>
      <c r="V21" s="24"/>
      <c r="W21" s="25"/>
    </row>
    <row r="22" spans="1:23" ht="15.75" customHeight="1" x14ac:dyDescent="0.25">
      <c r="A22" s="2">
        <f t="shared" si="0"/>
        <v>18</v>
      </c>
      <c r="B22" s="1" t="s">
        <v>149</v>
      </c>
      <c r="C22" s="1" t="s">
        <v>28</v>
      </c>
      <c r="D22" s="1" t="s">
        <v>150</v>
      </c>
      <c r="E22" s="3" t="s">
        <v>68</v>
      </c>
      <c r="F22" s="1" t="s">
        <v>6</v>
      </c>
      <c r="G22" s="1" t="s">
        <v>68</v>
      </c>
      <c r="H22" s="1" t="s">
        <v>151</v>
      </c>
      <c r="I22" s="1" t="s">
        <v>152</v>
      </c>
      <c r="J22" s="4">
        <v>208</v>
      </c>
      <c r="K22" s="4"/>
      <c r="L22" s="4">
        <v>6</v>
      </c>
      <c r="M22" s="51" t="b">
        <v>0</v>
      </c>
      <c r="N22" s="55" t="str">
        <f t="shared" si="3"/>
        <v>Pas encore</v>
      </c>
      <c r="O22" s="27"/>
      <c r="P22" s="27"/>
      <c r="Q22" s="5"/>
      <c r="R22" s="10"/>
      <c r="S22" s="19"/>
      <c r="T22" s="23"/>
      <c r="U22" s="24"/>
      <c r="V22" s="24"/>
      <c r="W22" s="25"/>
    </row>
    <row r="23" spans="1:23" ht="15.75" customHeight="1" x14ac:dyDescent="0.25">
      <c r="A23" s="2">
        <f t="shared" si="0"/>
        <v>19</v>
      </c>
      <c r="B23" s="1" t="s">
        <v>149</v>
      </c>
      <c r="C23" s="1" t="s">
        <v>28</v>
      </c>
      <c r="D23" s="1" t="s">
        <v>155</v>
      </c>
      <c r="E23" s="3" t="s">
        <v>71</v>
      </c>
      <c r="F23" s="1" t="s">
        <v>6</v>
      </c>
      <c r="G23" s="1" t="s">
        <v>71</v>
      </c>
      <c r="H23" s="1" t="s">
        <v>156</v>
      </c>
      <c r="I23" s="1" t="s">
        <v>157</v>
      </c>
      <c r="J23" s="4">
        <v>109</v>
      </c>
      <c r="K23" s="4"/>
      <c r="L23" s="4">
        <v>3</v>
      </c>
      <c r="M23" s="51" t="b">
        <v>0</v>
      </c>
      <c r="N23" s="55" t="str">
        <f t="shared" si="3"/>
        <v>Pas encore</v>
      </c>
      <c r="O23" s="27"/>
      <c r="P23" s="27"/>
      <c r="Q23" s="5"/>
      <c r="R23" s="10"/>
      <c r="S23" s="19"/>
      <c r="T23" s="23"/>
      <c r="U23" s="24"/>
      <c r="V23" s="24"/>
      <c r="W23" s="25"/>
    </row>
    <row r="24" spans="1:23" ht="15.75" customHeight="1" x14ac:dyDescent="0.25">
      <c r="A24" s="2">
        <f t="shared" si="0"/>
        <v>20</v>
      </c>
      <c r="B24" s="1" t="s">
        <v>159</v>
      </c>
      <c r="C24" s="1" t="s">
        <v>54</v>
      </c>
      <c r="D24" s="1" t="s">
        <v>160</v>
      </c>
      <c r="E24" s="3" t="s">
        <v>73</v>
      </c>
      <c r="F24" s="1" t="s">
        <v>22</v>
      </c>
      <c r="G24" s="1" t="s">
        <v>73</v>
      </c>
      <c r="H24" s="1" t="s">
        <v>161</v>
      </c>
      <c r="I24" s="1" t="s">
        <v>162</v>
      </c>
      <c r="J24" s="4">
        <v>40</v>
      </c>
      <c r="K24" s="4"/>
      <c r="L24" s="4">
        <v>2</v>
      </c>
      <c r="M24" s="51" t="b">
        <v>0</v>
      </c>
      <c r="N24" s="55" t="str">
        <f t="shared" si="3"/>
        <v>Pas encore</v>
      </c>
      <c r="O24" s="27"/>
      <c r="P24" s="27"/>
      <c r="Q24" s="5"/>
      <c r="R24" s="10"/>
      <c r="S24" s="19"/>
      <c r="T24" s="23"/>
      <c r="U24" s="24"/>
      <c r="V24" s="24"/>
      <c r="W24" s="25"/>
    </row>
    <row r="25" spans="1:23" ht="15.75" customHeight="1" x14ac:dyDescent="0.25">
      <c r="A25" s="2">
        <f t="shared" si="0"/>
        <v>21</v>
      </c>
      <c r="B25" s="1" t="s">
        <v>164</v>
      </c>
      <c r="C25" s="1" t="s">
        <v>54</v>
      </c>
      <c r="D25" s="1" t="s">
        <v>165</v>
      </c>
      <c r="E25" s="3" t="s">
        <v>78</v>
      </c>
      <c r="F25" s="1" t="s">
        <v>25</v>
      </c>
      <c r="G25" s="1" t="s">
        <v>77</v>
      </c>
      <c r="H25" s="1" t="s">
        <v>166</v>
      </c>
      <c r="I25" s="1" t="s">
        <v>167</v>
      </c>
      <c r="J25" s="4">
        <v>38</v>
      </c>
      <c r="K25" s="4"/>
      <c r="L25" s="4">
        <v>2</v>
      </c>
      <c r="M25" s="51" t="b">
        <v>0</v>
      </c>
      <c r="N25" s="55" t="str">
        <f t="shared" si="3"/>
        <v>Pas encore</v>
      </c>
      <c r="O25" s="27"/>
      <c r="P25" s="27"/>
      <c r="Q25" s="5"/>
      <c r="R25" s="10"/>
      <c r="S25" s="19"/>
      <c r="T25" s="23"/>
      <c r="U25" s="24"/>
      <c r="V25" s="24"/>
      <c r="W25" s="25"/>
    </row>
    <row r="26" spans="1:23" ht="15.75" customHeight="1" x14ac:dyDescent="0.25">
      <c r="A26" s="2">
        <f t="shared" si="0"/>
        <v>22</v>
      </c>
      <c r="B26" s="1" t="s">
        <v>170</v>
      </c>
      <c r="C26" s="1" t="s">
        <v>54</v>
      </c>
      <c r="D26" s="1" t="s">
        <v>171</v>
      </c>
      <c r="E26" s="3" t="s">
        <v>79</v>
      </c>
      <c r="F26" s="1" t="s">
        <v>22</v>
      </c>
      <c r="G26" s="1" t="s">
        <v>79</v>
      </c>
      <c r="H26" s="1" t="s">
        <v>172</v>
      </c>
      <c r="I26" s="1" t="s">
        <v>173</v>
      </c>
      <c r="J26" s="4">
        <v>30</v>
      </c>
      <c r="K26" s="4"/>
      <c r="L26" s="4">
        <v>1</v>
      </c>
      <c r="M26" s="51" t="b">
        <v>0</v>
      </c>
      <c r="N26" s="55" t="str">
        <f t="shared" si="3"/>
        <v>Pas encore</v>
      </c>
      <c r="O26" s="27"/>
      <c r="P26" s="27"/>
      <c r="Q26" s="5"/>
      <c r="R26" s="10"/>
      <c r="S26" s="19"/>
      <c r="T26" s="23"/>
      <c r="U26" s="24"/>
      <c r="V26" s="24"/>
      <c r="W26" s="25"/>
    </row>
    <row r="27" spans="1:23" ht="15.75" customHeight="1" x14ac:dyDescent="0.25">
      <c r="A27" s="2">
        <f t="shared" si="0"/>
        <v>23</v>
      </c>
      <c r="B27" s="1" t="s">
        <v>176</v>
      </c>
      <c r="C27" s="1" t="s">
        <v>54</v>
      </c>
      <c r="D27" s="1" t="s">
        <v>177</v>
      </c>
      <c r="E27" s="3" t="s">
        <v>85</v>
      </c>
      <c r="F27" s="1" t="s">
        <v>25</v>
      </c>
      <c r="G27" s="1" t="s">
        <v>84</v>
      </c>
      <c r="H27" s="1" t="s">
        <v>178</v>
      </c>
      <c r="I27" s="1" t="s">
        <v>179</v>
      </c>
      <c r="J27" s="4">
        <v>35</v>
      </c>
      <c r="K27" s="4"/>
      <c r="L27" s="4">
        <v>1</v>
      </c>
      <c r="M27" s="51" t="b">
        <v>0</v>
      </c>
      <c r="N27" s="55" t="str">
        <f t="shared" si="3"/>
        <v>Pas encore</v>
      </c>
      <c r="O27" s="27"/>
      <c r="P27" s="27"/>
      <c r="Q27" s="5"/>
      <c r="R27" s="10"/>
      <c r="S27" s="19"/>
      <c r="T27" s="23"/>
      <c r="U27" s="24"/>
      <c r="V27" s="24"/>
      <c r="W27" s="25"/>
    </row>
    <row r="28" spans="1:23" ht="13.8" x14ac:dyDescent="0.25">
      <c r="A28" s="2">
        <f t="shared" si="0"/>
        <v>24</v>
      </c>
      <c r="B28" s="1" t="s">
        <v>176</v>
      </c>
      <c r="C28" s="1" t="s">
        <v>54</v>
      </c>
      <c r="D28" s="1" t="s">
        <v>181</v>
      </c>
      <c r="E28" s="3" t="s">
        <v>86</v>
      </c>
      <c r="F28" s="1" t="s">
        <v>25</v>
      </c>
      <c r="G28" s="1" t="s">
        <v>84</v>
      </c>
      <c r="H28" s="1" t="s">
        <v>182</v>
      </c>
      <c r="I28" s="1" t="s">
        <v>183</v>
      </c>
      <c r="J28" s="4">
        <v>30</v>
      </c>
      <c r="K28" s="4"/>
      <c r="L28" s="4">
        <v>1</v>
      </c>
      <c r="M28" s="51" t="b">
        <v>0</v>
      </c>
      <c r="N28" s="55" t="str">
        <f t="shared" si="3"/>
        <v>Pas encore</v>
      </c>
      <c r="O28" s="27"/>
      <c r="P28" s="27"/>
      <c r="Q28" s="5"/>
      <c r="R28" s="10"/>
      <c r="S28" s="19"/>
      <c r="T28" s="23"/>
      <c r="U28" s="24"/>
      <c r="V28" s="24"/>
      <c r="W28" s="25"/>
    </row>
    <row r="29" spans="1:23" ht="13.8" x14ac:dyDescent="0.25">
      <c r="A29" s="2">
        <f t="shared" si="0"/>
        <v>25</v>
      </c>
      <c r="B29" s="1" t="s">
        <v>185</v>
      </c>
      <c r="C29" s="1" t="s">
        <v>54</v>
      </c>
      <c r="D29" s="1" t="s">
        <v>186</v>
      </c>
      <c r="E29" s="3" t="s">
        <v>88</v>
      </c>
      <c r="F29" s="1" t="s">
        <v>25</v>
      </c>
      <c r="G29" s="1" t="s">
        <v>87</v>
      </c>
      <c r="H29" s="1" t="s">
        <v>187</v>
      </c>
      <c r="I29" s="1" t="s">
        <v>188</v>
      </c>
      <c r="J29" s="4">
        <v>34</v>
      </c>
      <c r="K29" s="4"/>
      <c r="L29" s="4">
        <v>2</v>
      </c>
      <c r="M29" s="51" t="b">
        <v>0</v>
      </c>
      <c r="N29" s="55" t="str">
        <f t="shared" si="3"/>
        <v>Pas encore</v>
      </c>
      <c r="O29" s="28"/>
      <c r="P29" s="28"/>
      <c r="Q29" s="5"/>
      <c r="R29" s="10"/>
      <c r="S29" s="19"/>
      <c r="T29" s="23"/>
      <c r="U29" s="24"/>
      <c r="V29" s="24"/>
      <c r="W29" s="25"/>
    </row>
    <row r="30" spans="1:23" ht="13.8" x14ac:dyDescent="0.25">
      <c r="A30" s="2">
        <f t="shared" si="0"/>
        <v>26</v>
      </c>
      <c r="B30" s="1" t="s">
        <v>27</v>
      </c>
      <c r="C30" s="1" t="s">
        <v>28</v>
      </c>
      <c r="D30" s="1" t="s">
        <v>192</v>
      </c>
      <c r="E30" s="1" t="s">
        <v>89</v>
      </c>
      <c r="F30" s="1" t="s">
        <v>6</v>
      </c>
      <c r="G30" s="1" t="s">
        <v>89</v>
      </c>
      <c r="H30" s="1" t="s">
        <v>193</v>
      </c>
      <c r="I30" s="1" t="s">
        <v>194</v>
      </c>
      <c r="J30" s="4">
        <v>193</v>
      </c>
      <c r="K30" s="4"/>
      <c r="L30" s="4">
        <v>5</v>
      </c>
      <c r="M30" s="51" t="b">
        <v>0</v>
      </c>
      <c r="N30" s="55" t="str">
        <f t="shared" si="3"/>
        <v>Pas encore</v>
      </c>
      <c r="O30" s="46">
        <f>COUNTA(N30:N64)</f>
        <v>35</v>
      </c>
      <c r="P30" s="47" t="s">
        <v>199</v>
      </c>
      <c r="Q30" s="7"/>
      <c r="R30" s="7"/>
      <c r="S30" s="8"/>
      <c r="T30" s="23"/>
      <c r="U30" s="24"/>
      <c r="V30" s="24"/>
      <c r="W30" s="25"/>
    </row>
    <row r="31" spans="1:23" ht="13.8" x14ac:dyDescent="0.25">
      <c r="A31" s="2">
        <f t="shared" si="0"/>
        <v>27</v>
      </c>
      <c r="B31" s="1" t="s">
        <v>27</v>
      </c>
      <c r="C31" s="1" t="s">
        <v>28</v>
      </c>
      <c r="D31" s="1" t="s">
        <v>202</v>
      </c>
      <c r="E31" s="1" t="s">
        <v>90</v>
      </c>
      <c r="F31" s="1" t="s">
        <v>6</v>
      </c>
      <c r="G31" s="1" t="s">
        <v>90</v>
      </c>
      <c r="H31" s="1" t="s">
        <v>203</v>
      </c>
      <c r="I31" s="1" t="s">
        <v>204</v>
      </c>
      <c r="J31" s="4">
        <v>126</v>
      </c>
      <c r="K31" s="4"/>
      <c r="L31" s="4">
        <v>4</v>
      </c>
      <c r="M31" s="51" t="b">
        <v>0</v>
      </c>
      <c r="N31" s="55" t="str">
        <f t="shared" si="3"/>
        <v>Pas encore</v>
      </c>
      <c r="O31" s="27"/>
      <c r="P31" s="27"/>
      <c r="Q31" s="10"/>
      <c r="R31" s="10"/>
      <c r="S31" s="19"/>
      <c r="T31" s="23"/>
      <c r="U31" s="24"/>
      <c r="V31" s="24"/>
      <c r="W31" s="25"/>
    </row>
    <row r="32" spans="1:23" ht="13.8" x14ac:dyDescent="0.25">
      <c r="A32" s="2">
        <f t="shared" si="0"/>
        <v>28</v>
      </c>
      <c r="B32" s="1" t="s">
        <v>27</v>
      </c>
      <c r="C32" s="1" t="s">
        <v>28</v>
      </c>
      <c r="D32" s="1" t="s">
        <v>206</v>
      </c>
      <c r="E32" s="1" t="s">
        <v>91</v>
      </c>
      <c r="F32" s="1" t="s">
        <v>6</v>
      </c>
      <c r="G32" s="1" t="s">
        <v>91</v>
      </c>
      <c r="H32" s="1" t="s">
        <v>207</v>
      </c>
      <c r="I32" s="1" t="s">
        <v>208</v>
      </c>
      <c r="J32" s="4">
        <v>66</v>
      </c>
      <c r="K32" s="4"/>
      <c r="L32" s="4">
        <v>2</v>
      </c>
      <c r="M32" s="51" t="b">
        <v>0</v>
      </c>
      <c r="N32" s="55" t="str">
        <f t="shared" si="3"/>
        <v>Pas encore</v>
      </c>
      <c r="O32" s="27"/>
      <c r="P32" s="27"/>
      <c r="Q32" s="10"/>
      <c r="R32" s="10"/>
      <c r="S32" s="19"/>
      <c r="T32" s="23"/>
      <c r="U32" s="24"/>
      <c r="V32" s="24"/>
      <c r="W32" s="25"/>
    </row>
    <row r="33" spans="1:23" ht="13.8" x14ac:dyDescent="0.25">
      <c r="A33" s="2">
        <f t="shared" si="0"/>
        <v>29</v>
      </c>
      <c r="B33" s="1" t="s">
        <v>53</v>
      </c>
      <c r="C33" s="1" t="s">
        <v>54</v>
      </c>
      <c r="D33" s="1" t="s">
        <v>210</v>
      </c>
      <c r="E33" s="1" t="s">
        <v>93</v>
      </c>
      <c r="F33" s="1" t="s">
        <v>25</v>
      </c>
      <c r="G33" s="1" t="s">
        <v>92</v>
      </c>
      <c r="H33" s="1" t="s">
        <v>211</v>
      </c>
      <c r="I33" s="1" t="s">
        <v>212</v>
      </c>
      <c r="J33" s="4">
        <v>45</v>
      </c>
      <c r="K33" s="4"/>
      <c r="L33" s="4">
        <v>2</v>
      </c>
      <c r="M33" s="51" t="b">
        <v>0</v>
      </c>
      <c r="N33" s="55" t="str">
        <f t="shared" si="3"/>
        <v>Pas encore</v>
      </c>
      <c r="O33" s="27"/>
      <c r="P33" s="27"/>
      <c r="Q33" s="10"/>
      <c r="R33" s="10"/>
      <c r="S33" s="19"/>
      <c r="T33" s="23"/>
      <c r="U33" s="24"/>
      <c r="V33" s="24"/>
      <c r="W33" s="25"/>
    </row>
    <row r="34" spans="1:23" ht="13.8" x14ac:dyDescent="0.25">
      <c r="A34" s="2">
        <f t="shared" si="0"/>
        <v>30</v>
      </c>
      <c r="B34" s="1" t="s">
        <v>53</v>
      </c>
      <c r="C34" s="1" t="s">
        <v>54</v>
      </c>
      <c r="D34" s="1" t="s">
        <v>216</v>
      </c>
      <c r="E34" s="1" t="s">
        <v>94</v>
      </c>
      <c r="F34" s="1" t="s">
        <v>22</v>
      </c>
      <c r="G34" s="1" t="s">
        <v>94</v>
      </c>
      <c r="H34" s="1" t="s">
        <v>217</v>
      </c>
      <c r="I34" s="1" t="s">
        <v>218</v>
      </c>
      <c r="J34" s="4">
        <v>42</v>
      </c>
      <c r="K34" s="4"/>
      <c r="L34" s="4">
        <v>2</v>
      </c>
      <c r="M34" s="51" t="b">
        <v>0</v>
      </c>
      <c r="N34" s="55" t="str">
        <f t="shared" si="3"/>
        <v>Pas encore</v>
      </c>
      <c r="O34" s="27"/>
      <c r="P34" s="27"/>
      <c r="Q34" s="10"/>
      <c r="R34" s="10"/>
      <c r="S34" s="19"/>
      <c r="T34" s="23"/>
      <c r="U34" s="24"/>
      <c r="V34" s="24"/>
      <c r="W34" s="25"/>
    </row>
    <row r="35" spans="1:23" ht="13.8" x14ac:dyDescent="0.25">
      <c r="A35" s="2">
        <f t="shared" si="0"/>
        <v>31</v>
      </c>
      <c r="B35" s="1" t="s">
        <v>53</v>
      </c>
      <c r="C35" s="1" t="s">
        <v>54</v>
      </c>
      <c r="D35" s="1" t="s">
        <v>219</v>
      </c>
      <c r="E35" s="1" t="s">
        <v>92</v>
      </c>
      <c r="F35" s="1" t="s">
        <v>22</v>
      </c>
      <c r="G35" s="1" t="s">
        <v>92</v>
      </c>
      <c r="H35" s="1" t="s">
        <v>220</v>
      </c>
      <c r="I35" s="1" t="s">
        <v>221</v>
      </c>
      <c r="J35" s="4">
        <v>36</v>
      </c>
      <c r="K35" s="4"/>
      <c r="L35" s="4">
        <v>1</v>
      </c>
      <c r="M35" s="51" t="b">
        <v>0</v>
      </c>
      <c r="N35" s="55" t="str">
        <f t="shared" si="3"/>
        <v>Pas encore</v>
      </c>
      <c r="O35" s="27"/>
      <c r="P35" s="27"/>
      <c r="Q35" s="10"/>
      <c r="R35" s="10"/>
      <c r="S35" s="19"/>
      <c r="T35" s="23"/>
      <c r="U35" s="24"/>
      <c r="V35" s="24"/>
      <c r="W35" s="25"/>
    </row>
    <row r="36" spans="1:23" ht="13.8" x14ac:dyDescent="0.25">
      <c r="A36" s="2">
        <f t="shared" si="0"/>
        <v>32</v>
      </c>
      <c r="B36" s="1" t="s">
        <v>53</v>
      </c>
      <c r="C36" s="1" t="s">
        <v>54</v>
      </c>
      <c r="D36" s="1" t="s">
        <v>225</v>
      </c>
      <c r="E36" s="1" t="s">
        <v>98</v>
      </c>
      <c r="F36" s="1" t="s">
        <v>22</v>
      </c>
      <c r="G36" s="1" t="s">
        <v>98</v>
      </c>
      <c r="H36" s="1" t="s">
        <v>226</v>
      </c>
      <c r="I36" s="1" t="s">
        <v>227</v>
      </c>
      <c r="J36" s="4">
        <v>33</v>
      </c>
      <c r="K36" s="4"/>
      <c r="L36" s="4">
        <v>1</v>
      </c>
      <c r="M36" s="51" t="b">
        <v>0</v>
      </c>
      <c r="N36" s="55" t="str">
        <f t="shared" si="3"/>
        <v>Pas encore</v>
      </c>
      <c r="O36" s="27"/>
      <c r="P36" s="27"/>
      <c r="Q36" s="10"/>
      <c r="R36" s="10"/>
      <c r="S36" s="19"/>
      <c r="T36" s="23"/>
      <c r="U36" s="24"/>
      <c r="V36" s="24"/>
      <c r="W36" s="25"/>
    </row>
    <row r="37" spans="1:23" ht="13.8" x14ac:dyDescent="0.25">
      <c r="A37" s="2">
        <f t="shared" si="0"/>
        <v>33</v>
      </c>
      <c r="B37" s="1" t="s">
        <v>72</v>
      </c>
      <c r="C37" s="1" t="s">
        <v>54</v>
      </c>
      <c r="D37" s="1" t="s">
        <v>229</v>
      </c>
      <c r="E37" s="1" t="s">
        <v>100</v>
      </c>
      <c r="F37" s="1" t="s">
        <v>25</v>
      </c>
      <c r="G37" s="1" t="s">
        <v>99</v>
      </c>
      <c r="H37" s="1" t="s">
        <v>230</v>
      </c>
      <c r="I37" s="1" t="s">
        <v>232</v>
      </c>
      <c r="J37" s="4">
        <v>46</v>
      </c>
      <c r="K37" s="4"/>
      <c r="L37" s="4">
        <v>2</v>
      </c>
      <c r="M37" s="51" t="b">
        <v>0</v>
      </c>
      <c r="N37" s="55" t="str">
        <f t="shared" si="3"/>
        <v>Pas encore</v>
      </c>
      <c r="O37" s="27"/>
      <c r="P37" s="27"/>
      <c r="Q37" s="10"/>
      <c r="R37" s="10"/>
      <c r="S37" s="19"/>
      <c r="T37" s="23"/>
      <c r="U37" s="24"/>
      <c r="V37" s="24"/>
      <c r="W37" s="25"/>
    </row>
    <row r="38" spans="1:23" ht="13.8" x14ac:dyDescent="0.25">
      <c r="A38" s="2">
        <f t="shared" si="0"/>
        <v>34</v>
      </c>
      <c r="B38" s="1" t="s">
        <v>72</v>
      </c>
      <c r="C38" s="1" t="s">
        <v>54</v>
      </c>
      <c r="D38" s="1" t="s">
        <v>235</v>
      </c>
      <c r="E38" s="1" t="s">
        <v>99</v>
      </c>
      <c r="F38" s="1" t="s">
        <v>22</v>
      </c>
      <c r="G38" s="1" t="s">
        <v>99</v>
      </c>
      <c r="H38" s="1" t="s">
        <v>236</v>
      </c>
      <c r="I38" s="1" t="s">
        <v>237</v>
      </c>
      <c r="J38" s="4">
        <v>44</v>
      </c>
      <c r="K38" s="4"/>
      <c r="L38" s="4">
        <v>2</v>
      </c>
      <c r="M38" s="51" t="b">
        <v>0</v>
      </c>
      <c r="N38" s="55" t="str">
        <f t="shared" si="3"/>
        <v>Pas encore</v>
      </c>
      <c r="O38" s="27"/>
      <c r="P38" s="27"/>
      <c r="Q38" s="10"/>
      <c r="R38" s="10"/>
      <c r="S38" s="19"/>
      <c r="T38" s="23"/>
      <c r="U38" s="24"/>
      <c r="V38" s="24"/>
      <c r="W38" s="25"/>
    </row>
    <row r="39" spans="1:23" ht="13.8" x14ac:dyDescent="0.25">
      <c r="A39" s="2">
        <f t="shared" si="0"/>
        <v>35</v>
      </c>
      <c r="B39" s="1" t="s">
        <v>72</v>
      </c>
      <c r="C39" s="1" t="s">
        <v>54</v>
      </c>
      <c r="D39" s="1" t="s">
        <v>240</v>
      </c>
      <c r="E39" s="1" t="s">
        <v>102</v>
      </c>
      <c r="F39" s="1" t="s">
        <v>22</v>
      </c>
      <c r="G39" s="1" t="s">
        <v>102</v>
      </c>
      <c r="H39" s="1" t="s">
        <v>241</v>
      </c>
      <c r="I39" s="1" t="s">
        <v>242</v>
      </c>
      <c r="J39" s="4">
        <v>35</v>
      </c>
      <c r="K39" s="4"/>
      <c r="L39" s="4">
        <v>2</v>
      </c>
      <c r="M39" s="51" t="b">
        <v>0</v>
      </c>
      <c r="N39" s="55" t="str">
        <f t="shared" si="3"/>
        <v>Pas encore</v>
      </c>
      <c r="O39" s="27"/>
      <c r="P39" s="27"/>
      <c r="Q39" s="10"/>
      <c r="R39" s="10"/>
      <c r="S39" s="19"/>
      <c r="T39" s="23"/>
      <c r="U39" s="24"/>
      <c r="V39" s="24"/>
      <c r="W39" s="25"/>
    </row>
    <row r="40" spans="1:23" ht="13.8" x14ac:dyDescent="0.25">
      <c r="A40" s="2">
        <f t="shared" si="0"/>
        <v>36</v>
      </c>
      <c r="B40" s="1" t="s">
        <v>72</v>
      </c>
      <c r="C40" s="1" t="s">
        <v>54</v>
      </c>
      <c r="D40" s="1" t="s">
        <v>244</v>
      </c>
      <c r="E40" s="1" t="s">
        <v>106</v>
      </c>
      <c r="F40" s="1" t="s">
        <v>25</v>
      </c>
      <c r="G40" s="1" t="s">
        <v>102</v>
      </c>
      <c r="H40" s="1" t="s">
        <v>246</v>
      </c>
      <c r="I40" s="1" t="s">
        <v>247</v>
      </c>
      <c r="J40" s="4">
        <v>30</v>
      </c>
      <c r="K40" s="4"/>
      <c r="L40" s="4">
        <v>1</v>
      </c>
      <c r="M40" s="51" t="b">
        <v>0</v>
      </c>
      <c r="N40" s="55" t="str">
        <f t="shared" si="3"/>
        <v>Pas encore</v>
      </c>
      <c r="O40" s="27"/>
      <c r="P40" s="27"/>
      <c r="Q40" s="10"/>
      <c r="R40" s="10"/>
      <c r="S40" s="19"/>
      <c r="T40" s="23"/>
      <c r="U40" s="24"/>
      <c r="V40" s="24"/>
      <c r="W40" s="25"/>
    </row>
    <row r="41" spans="1:23" ht="13.8" x14ac:dyDescent="0.25">
      <c r="A41" s="2">
        <f t="shared" si="0"/>
        <v>37</v>
      </c>
      <c r="B41" s="1" t="s">
        <v>80</v>
      </c>
      <c r="C41" s="1" t="s">
        <v>54</v>
      </c>
      <c r="D41" s="1" t="s">
        <v>249</v>
      </c>
      <c r="E41" s="1" t="s">
        <v>107</v>
      </c>
      <c r="F41" s="1" t="s">
        <v>22</v>
      </c>
      <c r="G41" s="1" t="s">
        <v>107</v>
      </c>
      <c r="H41" s="1" t="s">
        <v>250</v>
      </c>
      <c r="I41" s="1" t="s">
        <v>251</v>
      </c>
      <c r="J41" s="4">
        <v>31</v>
      </c>
      <c r="K41" s="4"/>
      <c r="L41" s="4">
        <v>1</v>
      </c>
      <c r="M41" s="51" t="b">
        <v>0</v>
      </c>
      <c r="N41" s="55" t="str">
        <f t="shared" si="3"/>
        <v>Pas encore</v>
      </c>
      <c r="O41" s="27"/>
      <c r="P41" s="27"/>
      <c r="Q41" s="10"/>
      <c r="R41" s="10"/>
      <c r="S41" s="19"/>
      <c r="T41" s="23"/>
      <c r="U41" s="24"/>
      <c r="V41" s="24"/>
      <c r="W41" s="25"/>
    </row>
    <row r="42" spans="1:23" ht="13.8" x14ac:dyDescent="0.25">
      <c r="A42" s="2">
        <f t="shared" si="0"/>
        <v>38</v>
      </c>
      <c r="B42" s="1" t="s">
        <v>253</v>
      </c>
      <c r="C42" s="1" t="s">
        <v>54</v>
      </c>
      <c r="D42" s="1" t="s">
        <v>254</v>
      </c>
      <c r="E42" s="1" t="s">
        <v>108</v>
      </c>
      <c r="F42" s="1" t="s">
        <v>22</v>
      </c>
      <c r="G42" s="1" t="s">
        <v>108</v>
      </c>
      <c r="H42" s="1" t="s">
        <v>255</v>
      </c>
      <c r="I42" s="1" t="s">
        <v>256</v>
      </c>
      <c r="J42" s="4">
        <v>114</v>
      </c>
      <c r="K42" s="4"/>
      <c r="L42" s="4">
        <v>4</v>
      </c>
      <c r="M42" s="51" t="b">
        <v>0</v>
      </c>
      <c r="N42" s="55" t="str">
        <f t="shared" si="3"/>
        <v>Pas encore</v>
      </c>
      <c r="O42" s="27"/>
      <c r="P42" s="27"/>
      <c r="Q42" s="10"/>
      <c r="R42" s="10"/>
      <c r="S42" s="19"/>
      <c r="T42" s="23"/>
      <c r="U42" s="24"/>
      <c r="V42" s="24"/>
      <c r="W42" s="25"/>
    </row>
    <row r="43" spans="1:23" ht="13.8" x14ac:dyDescent="0.25">
      <c r="A43" s="2">
        <f t="shared" si="0"/>
        <v>39</v>
      </c>
      <c r="B43" s="1" t="s">
        <v>253</v>
      </c>
      <c r="C43" s="1" t="s">
        <v>54</v>
      </c>
      <c r="D43" s="1" t="s">
        <v>259</v>
      </c>
      <c r="E43" s="1" t="s">
        <v>111</v>
      </c>
      <c r="F43" s="1" t="s">
        <v>22</v>
      </c>
      <c r="G43" s="1" t="s">
        <v>111</v>
      </c>
      <c r="H43" s="1" t="s">
        <v>260</v>
      </c>
      <c r="I43" s="1" t="s">
        <v>261</v>
      </c>
      <c r="J43" s="4">
        <v>42</v>
      </c>
      <c r="K43" s="4"/>
      <c r="L43" s="4">
        <v>2</v>
      </c>
      <c r="M43" s="51" t="b">
        <v>0</v>
      </c>
      <c r="N43" s="55" t="str">
        <f t="shared" si="3"/>
        <v>Pas encore</v>
      </c>
      <c r="O43" s="27"/>
      <c r="P43" s="27"/>
      <c r="Q43" s="10"/>
      <c r="R43" s="10"/>
      <c r="S43" s="19"/>
      <c r="T43" s="23"/>
      <c r="U43" s="24"/>
      <c r="V43" s="24"/>
      <c r="W43" s="25"/>
    </row>
    <row r="44" spans="1:23" ht="13.8" x14ac:dyDescent="0.25">
      <c r="A44" s="2">
        <f t="shared" si="0"/>
        <v>40</v>
      </c>
      <c r="B44" s="1" t="s">
        <v>109</v>
      </c>
      <c r="C44" s="1" t="s">
        <v>54</v>
      </c>
      <c r="D44" s="1" t="s">
        <v>264</v>
      </c>
      <c r="E44" s="1" t="s">
        <v>115</v>
      </c>
      <c r="F44" s="1" t="s">
        <v>25</v>
      </c>
      <c r="G44" s="1" t="s">
        <v>114</v>
      </c>
      <c r="H44" s="1" t="s">
        <v>265</v>
      </c>
      <c r="I44" s="1" t="s">
        <v>266</v>
      </c>
      <c r="J44" s="4">
        <v>51</v>
      </c>
      <c r="K44" s="4"/>
      <c r="L44" s="4">
        <v>2</v>
      </c>
      <c r="M44" s="51" t="b">
        <v>0</v>
      </c>
      <c r="N44" s="55" t="str">
        <f t="shared" si="3"/>
        <v>Pas encore</v>
      </c>
      <c r="O44" s="27"/>
      <c r="P44" s="27"/>
      <c r="Q44" s="10"/>
      <c r="R44" s="10"/>
      <c r="S44" s="19"/>
      <c r="T44" s="23"/>
      <c r="U44" s="24"/>
      <c r="V44" s="24"/>
      <c r="W44" s="25"/>
    </row>
    <row r="45" spans="1:23" ht="13.8" x14ac:dyDescent="0.25">
      <c r="A45" s="2">
        <f t="shared" si="0"/>
        <v>41</v>
      </c>
      <c r="B45" s="1" t="s">
        <v>109</v>
      </c>
      <c r="C45" s="1" t="s">
        <v>54</v>
      </c>
      <c r="D45" s="1" t="s">
        <v>267</v>
      </c>
      <c r="E45" s="1" t="s">
        <v>114</v>
      </c>
      <c r="F45" s="1" t="s">
        <v>22</v>
      </c>
      <c r="G45" s="1" t="s">
        <v>114</v>
      </c>
      <c r="H45" s="1" t="s">
        <v>268</v>
      </c>
      <c r="I45" s="1" t="s">
        <v>269</v>
      </c>
      <c r="J45" s="4">
        <v>46</v>
      </c>
      <c r="K45" s="4"/>
      <c r="L45" s="4">
        <v>2</v>
      </c>
      <c r="M45" s="51" t="b">
        <v>0</v>
      </c>
      <c r="N45" s="55" t="str">
        <f t="shared" si="3"/>
        <v>Pas encore</v>
      </c>
      <c r="O45" s="27"/>
      <c r="P45" s="27"/>
      <c r="Q45" s="10"/>
      <c r="R45" s="10"/>
      <c r="S45" s="19"/>
      <c r="T45" s="23"/>
      <c r="U45" s="24"/>
      <c r="V45" s="24"/>
      <c r="W45" s="25"/>
    </row>
    <row r="46" spans="1:23" ht="13.8" x14ac:dyDescent="0.25">
      <c r="A46" s="2">
        <f t="shared" si="0"/>
        <v>42</v>
      </c>
      <c r="B46" s="1" t="s">
        <v>109</v>
      </c>
      <c r="C46" s="1" t="s">
        <v>54</v>
      </c>
      <c r="D46" s="1" t="s">
        <v>272</v>
      </c>
      <c r="E46" s="1" t="s">
        <v>120</v>
      </c>
      <c r="F46" s="1" t="s">
        <v>22</v>
      </c>
      <c r="G46" s="1" t="s">
        <v>120</v>
      </c>
      <c r="H46" s="1" t="s">
        <v>274</v>
      </c>
      <c r="I46" s="1" t="s">
        <v>275</v>
      </c>
      <c r="J46" s="4">
        <v>34</v>
      </c>
      <c r="K46" s="4"/>
      <c r="L46" s="4">
        <v>1</v>
      </c>
      <c r="M46" s="51" t="b">
        <v>0</v>
      </c>
      <c r="N46" s="55" t="str">
        <f t="shared" si="3"/>
        <v>Pas encore</v>
      </c>
      <c r="O46" s="27"/>
      <c r="P46" s="27"/>
      <c r="Q46" s="10"/>
      <c r="R46" s="10"/>
      <c r="S46" s="19"/>
      <c r="T46" s="23"/>
      <c r="U46" s="24"/>
      <c r="V46" s="24"/>
      <c r="W46" s="25"/>
    </row>
    <row r="47" spans="1:23" ht="13.8" x14ac:dyDescent="0.25">
      <c r="A47" s="2">
        <f t="shared" si="0"/>
        <v>43</v>
      </c>
      <c r="B47" s="1" t="s">
        <v>116</v>
      </c>
      <c r="C47" s="1" t="s">
        <v>54</v>
      </c>
      <c r="D47" s="1" t="s">
        <v>277</v>
      </c>
      <c r="E47" s="1" t="s">
        <v>121</v>
      </c>
      <c r="F47" s="1" t="s">
        <v>22</v>
      </c>
      <c r="G47" s="1" t="s">
        <v>121</v>
      </c>
      <c r="H47" s="1" t="s">
        <v>278</v>
      </c>
      <c r="I47" s="1" t="s">
        <v>279</v>
      </c>
      <c r="J47" s="4">
        <v>30</v>
      </c>
      <c r="K47" s="4"/>
      <c r="L47" s="4">
        <v>1</v>
      </c>
      <c r="M47" s="51" t="b">
        <v>0</v>
      </c>
      <c r="N47" s="55" t="str">
        <f t="shared" si="3"/>
        <v>Pas encore</v>
      </c>
      <c r="O47" s="27"/>
      <c r="P47" s="27"/>
      <c r="Q47" s="10"/>
      <c r="R47" s="10"/>
      <c r="S47" s="19"/>
      <c r="T47" s="23"/>
      <c r="U47" s="24"/>
      <c r="V47" s="24"/>
      <c r="W47" s="25"/>
    </row>
    <row r="48" spans="1:23" ht="13.8" x14ac:dyDescent="0.25">
      <c r="A48" s="2">
        <f t="shared" si="0"/>
        <v>44</v>
      </c>
      <c r="B48" s="1" t="s">
        <v>281</v>
      </c>
      <c r="C48" s="1" t="s">
        <v>54</v>
      </c>
      <c r="D48" s="1" t="s">
        <v>282</v>
      </c>
      <c r="E48" s="1" t="s">
        <v>122</v>
      </c>
      <c r="F48" s="1" t="s">
        <v>22</v>
      </c>
      <c r="G48" s="1" t="s">
        <v>122</v>
      </c>
      <c r="H48" s="1" t="s">
        <v>284</v>
      </c>
      <c r="I48" s="1" t="s">
        <v>285</v>
      </c>
      <c r="J48" s="4">
        <v>38</v>
      </c>
      <c r="K48" s="4"/>
      <c r="L48" s="4">
        <v>1</v>
      </c>
      <c r="M48" s="51" t="b">
        <v>0</v>
      </c>
      <c r="N48" s="55" t="str">
        <f t="shared" si="3"/>
        <v>Pas encore</v>
      </c>
      <c r="O48" s="27"/>
      <c r="P48" s="27"/>
      <c r="Q48" s="10"/>
      <c r="R48" s="10"/>
      <c r="S48" s="19"/>
      <c r="T48" s="23"/>
      <c r="U48" s="24"/>
      <c r="V48" s="24"/>
      <c r="W48" s="25"/>
    </row>
    <row r="49" spans="1:23" ht="13.8" x14ac:dyDescent="0.25">
      <c r="A49" s="2">
        <f t="shared" si="0"/>
        <v>45</v>
      </c>
      <c r="B49" s="1" t="s">
        <v>281</v>
      </c>
      <c r="C49" s="1" t="s">
        <v>54</v>
      </c>
      <c r="D49" s="1" t="s">
        <v>287</v>
      </c>
      <c r="E49" s="1" t="s">
        <v>127</v>
      </c>
      <c r="F49" s="1" t="s">
        <v>25</v>
      </c>
      <c r="G49" s="1" t="s">
        <v>122</v>
      </c>
      <c r="H49" s="1" t="s">
        <v>288</v>
      </c>
      <c r="I49" s="1" t="s">
        <v>289</v>
      </c>
      <c r="J49" s="4">
        <v>36</v>
      </c>
      <c r="K49" s="4"/>
      <c r="L49" s="4">
        <v>1</v>
      </c>
      <c r="M49" s="51" t="b">
        <v>0</v>
      </c>
      <c r="N49" s="55" t="str">
        <f t="shared" si="3"/>
        <v>Pas encore</v>
      </c>
      <c r="O49" s="27"/>
      <c r="P49" s="27"/>
      <c r="Q49" s="10"/>
      <c r="R49" s="10"/>
      <c r="S49" s="19"/>
      <c r="T49" s="23"/>
      <c r="U49" s="24"/>
      <c r="V49" s="24"/>
      <c r="W49" s="25"/>
    </row>
    <row r="50" spans="1:23" ht="13.8" x14ac:dyDescent="0.25">
      <c r="A50" s="2">
        <f t="shared" si="0"/>
        <v>46</v>
      </c>
      <c r="B50" s="1" t="s">
        <v>292</v>
      </c>
      <c r="C50" s="1" t="s">
        <v>54</v>
      </c>
      <c r="D50" s="1" t="s">
        <v>293</v>
      </c>
      <c r="E50" s="1" t="s">
        <v>131</v>
      </c>
      <c r="F50" s="1" t="s">
        <v>22</v>
      </c>
      <c r="G50" s="1" t="s">
        <v>131</v>
      </c>
      <c r="H50" s="1" t="s">
        <v>294</v>
      </c>
      <c r="I50" s="1" t="s">
        <v>295</v>
      </c>
      <c r="J50" s="4">
        <v>43</v>
      </c>
      <c r="K50" s="4"/>
      <c r="L50" s="4">
        <v>2</v>
      </c>
      <c r="M50" s="51" t="b">
        <v>0</v>
      </c>
      <c r="N50" s="55" t="str">
        <f t="shared" si="3"/>
        <v>Pas encore</v>
      </c>
      <c r="O50" s="27"/>
      <c r="P50" s="27"/>
      <c r="Q50" s="10"/>
      <c r="R50" s="10"/>
      <c r="S50" s="19"/>
      <c r="T50" s="23"/>
      <c r="U50" s="24"/>
      <c r="V50" s="24"/>
      <c r="W50" s="25"/>
    </row>
    <row r="51" spans="1:23" ht="13.8" x14ac:dyDescent="0.25">
      <c r="A51" s="2">
        <f t="shared" si="0"/>
        <v>47</v>
      </c>
      <c r="B51" s="1" t="s">
        <v>292</v>
      </c>
      <c r="C51" s="1" t="s">
        <v>54</v>
      </c>
      <c r="D51" s="1" t="s">
        <v>296</v>
      </c>
      <c r="E51" s="1" t="s">
        <v>137</v>
      </c>
      <c r="F51" s="1" t="s">
        <v>25</v>
      </c>
      <c r="G51" s="1" t="s">
        <v>136</v>
      </c>
      <c r="H51" s="1" t="s">
        <v>297</v>
      </c>
      <c r="I51" s="1" t="s">
        <v>298</v>
      </c>
      <c r="J51" s="4">
        <v>38</v>
      </c>
      <c r="K51" s="4"/>
      <c r="L51" s="4">
        <v>1</v>
      </c>
      <c r="M51" s="51" t="b">
        <v>0</v>
      </c>
      <c r="N51" s="55" t="str">
        <f t="shared" si="3"/>
        <v>Pas encore</v>
      </c>
      <c r="O51" s="27"/>
      <c r="P51" s="27"/>
      <c r="Q51" s="10"/>
      <c r="R51" s="10"/>
      <c r="S51" s="19"/>
      <c r="T51" s="23"/>
      <c r="U51" s="24"/>
      <c r="V51" s="24"/>
      <c r="W51" s="25"/>
    </row>
    <row r="52" spans="1:23" ht="13.8" x14ac:dyDescent="0.25">
      <c r="A52" s="2">
        <f t="shared" si="0"/>
        <v>48</v>
      </c>
      <c r="B52" s="1" t="s">
        <v>299</v>
      </c>
      <c r="C52" s="1" t="s">
        <v>28</v>
      </c>
      <c r="D52" s="1" t="s">
        <v>300</v>
      </c>
      <c r="E52" s="1" t="s">
        <v>138</v>
      </c>
      <c r="F52" s="1" t="s">
        <v>6</v>
      </c>
      <c r="G52" s="1" t="s">
        <v>138</v>
      </c>
      <c r="H52" s="1" t="s">
        <v>301</v>
      </c>
      <c r="I52" s="1" t="s">
        <v>302</v>
      </c>
      <c r="J52" s="4">
        <v>144</v>
      </c>
      <c r="K52" s="4"/>
      <c r="L52" s="4">
        <v>4</v>
      </c>
      <c r="M52" s="51" t="b">
        <v>0</v>
      </c>
      <c r="N52" s="55" t="str">
        <f t="shared" si="3"/>
        <v>Pas encore</v>
      </c>
      <c r="O52" s="27"/>
      <c r="P52" s="27"/>
      <c r="Q52" s="10"/>
      <c r="R52" s="10"/>
      <c r="S52" s="19"/>
      <c r="T52" s="23"/>
      <c r="U52" s="24"/>
      <c r="V52" s="24"/>
      <c r="W52" s="25"/>
    </row>
    <row r="53" spans="1:23" ht="13.8" x14ac:dyDescent="0.25">
      <c r="A53" s="2">
        <f t="shared" si="0"/>
        <v>49</v>
      </c>
      <c r="B53" s="1" t="s">
        <v>299</v>
      </c>
      <c r="C53" s="1" t="s">
        <v>28</v>
      </c>
      <c r="D53" s="1" t="s">
        <v>303</v>
      </c>
      <c r="E53" s="1" t="s">
        <v>142</v>
      </c>
      <c r="F53" s="1" t="s">
        <v>6</v>
      </c>
      <c r="G53" s="1" t="s">
        <v>142</v>
      </c>
      <c r="H53" s="1" t="s">
        <v>304</v>
      </c>
      <c r="I53" s="1" t="s">
        <v>305</v>
      </c>
      <c r="J53" s="4">
        <v>122</v>
      </c>
      <c r="K53" s="4"/>
      <c r="L53" s="4">
        <v>4</v>
      </c>
      <c r="M53" s="51" t="b">
        <v>0</v>
      </c>
      <c r="N53" s="55" t="str">
        <f t="shared" si="3"/>
        <v>Pas encore</v>
      </c>
      <c r="O53" s="27"/>
      <c r="P53" s="27"/>
      <c r="Q53" s="10"/>
      <c r="R53" s="10"/>
      <c r="S53" s="19"/>
      <c r="T53" s="23"/>
      <c r="U53" s="24"/>
      <c r="V53" s="24"/>
      <c r="W53" s="25"/>
    </row>
    <row r="54" spans="1:23" ht="13.8" x14ac:dyDescent="0.25">
      <c r="A54" s="2">
        <f t="shared" si="0"/>
        <v>50</v>
      </c>
      <c r="B54" s="1" t="s">
        <v>299</v>
      </c>
      <c r="C54" s="1" t="s">
        <v>28</v>
      </c>
      <c r="D54" s="1" t="s">
        <v>306</v>
      </c>
      <c r="E54" s="1" t="s">
        <v>145</v>
      </c>
      <c r="F54" s="1" t="s">
        <v>6</v>
      </c>
      <c r="G54" s="1" t="s">
        <v>145</v>
      </c>
      <c r="H54" s="1" t="s">
        <v>307</v>
      </c>
      <c r="I54" s="1" t="s">
        <v>308</v>
      </c>
      <c r="J54" s="4">
        <v>30</v>
      </c>
      <c r="K54" s="4"/>
      <c r="L54" s="4">
        <v>1</v>
      </c>
      <c r="M54" s="51" t="b">
        <v>0</v>
      </c>
      <c r="N54" s="55" t="str">
        <f t="shared" si="3"/>
        <v>Pas encore</v>
      </c>
      <c r="O54" s="27"/>
      <c r="P54" s="27"/>
      <c r="Q54" s="10"/>
      <c r="R54" s="10"/>
      <c r="S54" s="19"/>
      <c r="T54" s="23"/>
      <c r="U54" s="24"/>
      <c r="V54" s="24"/>
      <c r="W54" s="25"/>
    </row>
    <row r="55" spans="1:23" ht="13.8" x14ac:dyDescent="0.25">
      <c r="A55" s="2">
        <f t="shared" si="0"/>
        <v>51</v>
      </c>
      <c r="B55" s="1" t="s">
        <v>309</v>
      </c>
      <c r="C55" s="1" t="s">
        <v>54</v>
      </c>
      <c r="D55" s="1" t="s">
        <v>310</v>
      </c>
      <c r="E55" s="1" t="s">
        <v>148</v>
      </c>
      <c r="F55" s="1" t="s">
        <v>22</v>
      </c>
      <c r="G55" s="1" t="s">
        <v>148</v>
      </c>
      <c r="H55" s="1" t="s">
        <v>311</v>
      </c>
      <c r="I55" s="1" t="s">
        <v>312</v>
      </c>
      <c r="J55" s="4">
        <v>37</v>
      </c>
      <c r="K55" s="4"/>
      <c r="L55" s="4">
        <v>2</v>
      </c>
      <c r="M55" s="51" t="b">
        <v>0</v>
      </c>
      <c r="N55" s="55" t="str">
        <f t="shared" si="3"/>
        <v>Pas encore</v>
      </c>
      <c r="O55" s="27"/>
      <c r="P55" s="27"/>
      <c r="Q55" s="10"/>
      <c r="R55" s="10"/>
      <c r="S55" s="19"/>
      <c r="T55" s="23"/>
      <c r="U55" s="24"/>
      <c r="V55" s="24"/>
      <c r="W55" s="25"/>
    </row>
    <row r="56" spans="1:23" ht="13.8" x14ac:dyDescent="0.25">
      <c r="A56" s="2">
        <f t="shared" si="0"/>
        <v>52</v>
      </c>
      <c r="B56" s="1" t="s">
        <v>313</v>
      </c>
      <c r="C56" s="1" t="s">
        <v>54</v>
      </c>
      <c r="D56" s="1" t="s">
        <v>314</v>
      </c>
      <c r="E56" s="1" t="s">
        <v>153</v>
      </c>
      <c r="F56" s="1" t="s">
        <v>22</v>
      </c>
      <c r="G56" s="1" t="s">
        <v>153</v>
      </c>
      <c r="H56" s="1" t="s">
        <v>315</v>
      </c>
      <c r="I56" s="1" t="s">
        <v>316</v>
      </c>
      <c r="J56" s="4">
        <v>44</v>
      </c>
      <c r="K56" s="4"/>
      <c r="L56" s="4">
        <v>2</v>
      </c>
      <c r="M56" s="51" t="b">
        <v>0</v>
      </c>
      <c r="N56" s="55" t="str">
        <f t="shared" si="3"/>
        <v>Pas encore</v>
      </c>
      <c r="O56" s="27"/>
      <c r="P56" s="27"/>
      <c r="Q56" s="10"/>
      <c r="R56" s="10"/>
      <c r="S56" s="19"/>
      <c r="T56" s="23"/>
      <c r="U56" s="24"/>
      <c r="V56" s="24"/>
      <c r="W56" s="25"/>
    </row>
    <row r="57" spans="1:23" ht="13.8" x14ac:dyDescent="0.25">
      <c r="A57" s="2">
        <f t="shared" si="0"/>
        <v>53</v>
      </c>
      <c r="B57" s="1" t="s">
        <v>313</v>
      </c>
      <c r="C57" s="1" t="s">
        <v>54</v>
      </c>
      <c r="D57" s="1" t="s">
        <v>317</v>
      </c>
      <c r="E57" s="1" t="s">
        <v>154</v>
      </c>
      <c r="F57" s="1" t="s">
        <v>22</v>
      </c>
      <c r="G57" s="1" t="s">
        <v>154</v>
      </c>
      <c r="H57" s="1" t="s">
        <v>318</v>
      </c>
      <c r="I57" s="1" t="s">
        <v>319</v>
      </c>
      <c r="J57" s="4">
        <v>32</v>
      </c>
      <c r="K57" s="4"/>
      <c r="L57" s="4">
        <v>1</v>
      </c>
      <c r="M57" s="51" t="b">
        <v>0</v>
      </c>
      <c r="N57" s="55" t="str">
        <f t="shared" si="3"/>
        <v>Pas encore</v>
      </c>
      <c r="O57" s="27"/>
      <c r="P57" s="27"/>
      <c r="Q57" s="10"/>
      <c r="R57" s="10"/>
      <c r="S57" s="19"/>
      <c r="T57" s="23"/>
      <c r="U57" s="24"/>
      <c r="V57" s="24"/>
      <c r="W57" s="25"/>
    </row>
    <row r="58" spans="1:23" ht="13.8" x14ac:dyDescent="0.25">
      <c r="A58" s="2">
        <f t="shared" si="0"/>
        <v>54</v>
      </c>
      <c r="B58" s="1" t="s">
        <v>320</v>
      </c>
      <c r="C58" s="1" t="s">
        <v>54</v>
      </c>
      <c r="D58" s="1" t="s">
        <v>321</v>
      </c>
      <c r="E58" s="1" t="s">
        <v>158</v>
      </c>
      <c r="F58" s="1" t="s">
        <v>22</v>
      </c>
      <c r="G58" s="1" t="s">
        <v>158</v>
      </c>
      <c r="H58" s="1" t="s">
        <v>322</v>
      </c>
      <c r="I58" s="1" t="s">
        <v>323</v>
      </c>
      <c r="J58" s="4">
        <v>33</v>
      </c>
      <c r="K58" s="4"/>
      <c r="L58" s="4">
        <v>1</v>
      </c>
      <c r="M58" s="51" t="b">
        <v>0</v>
      </c>
      <c r="N58" s="55" t="str">
        <f t="shared" si="3"/>
        <v>Pas encore</v>
      </c>
      <c r="O58" s="27"/>
      <c r="P58" s="27"/>
      <c r="Q58" s="10"/>
      <c r="R58" s="10"/>
      <c r="S58" s="19"/>
      <c r="T58" s="23"/>
      <c r="U58" s="24"/>
      <c r="V58" s="24"/>
      <c r="W58" s="25"/>
    </row>
    <row r="59" spans="1:23" ht="13.8" x14ac:dyDescent="0.25">
      <c r="A59" s="2">
        <f t="shared" si="0"/>
        <v>55</v>
      </c>
      <c r="B59" s="1" t="s">
        <v>324</v>
      </c>
      <c r="C59" s="1" t="s">
        <v>54</v>
      </c>
      <c r="D59" s="1" t="s">
        <v>325</v>
      </c>
      <c r="E59" s="1" t="s">
        <v>163</v>
      </c>
      <c r="F59" s="1" t="s">
        <v>22</v>
      </c>
      <c r="G59" s="1" t="s">
        <v>163</v>
      </c>
      <c r="H59" s="1" t="s">
        <v>326</v>
      </c>
      <c r="I59" s="1" t="s">
        <v>327</v>
      </c>
      <c r="J59" s="4">
        <v>44</v>
      </c>
      <c r="K59" s="4"/>
      <c r="L59" s="4">
        <v>2</v>
      </c>
      <c r="M59" s="51" t="b">
        <v>0</v>
      </c>
      <c r="N59" s="55" t="str">
        <f t="shared" si="3"/>
        <v>Pas encore</v>
      </c>
      <c r="O59" s="27"/>
      <c r="P59" s="27"/>
      <c r="Q59" s="10"/>
      <c r="R59" s="10"/>
      <c r="S59" s="19"/>
      <c r="T59" s="23"/>
      <c r="U59" s="24"/>
      <c r="V59" s="24"/>
      <c r="W59" s="25"/>
    </row>
    <row r="60" spans="1:23" ht="13.8" x14ac:dyDescent="0.25">
      <c r="A60" s="2">
        <f t="shared" si="0"/>
        <v>56</v>
      </c>
      <c r="B60" s="1" t="s">
        <v>123</v>
      </c>
      <c r="C60" s="1" t="s">
        <v>54</v>
      </c>
      <c r="D60" s="1" t="s">
        <v>328</v>
      </c>
      <c r="E60" s="1" t="s">
        <v>169</v>
      </c>
      <c r="F60" s="1" t="s">
        <v>25</v>
      </c>
      <c r="G60" s="1" t="s">
        <v>168</v>
      </c>
      <c r="H60" s="1" t="s">
        <v>329</v>
      </c>
      <c r="I60" s="1" t="s">
        <v>330</v>
      </c>
      <c r="J60" s="4">
        <v>35</v>
      </c>
      <c r="K60" s="4"/>
      <c r="L60" s="4">
        <v>1</v>
      </c>
      <c r="M60" s="51" t="b">
        <v>0</v>
      </c>
      <c r="N60" s="55" t="str">
        <f t="shared" si="3"/>
        <v>Pas encore</v>
      </c>
      <c r="O60" s="27"/>
      <c r="P60" s="27"/>
      <c r="Q60" s="10"/>
      <c r="R60" s="10"/>
      <c r="S60" s="19"/>
      <c r="T60" s="23"/>
      <c r="U60" s="24"/>
      <c r="V60" s="24"/>
      <c r="W60" s="25"/>
    </row>
    <row r="61" spans="1:23" ht="13.8" x14ac:dyDescent="0.25">
      <c r="A61" s="2">
        <f t="shared" si="0"/>
        <v>57</v>
      </c>
      <c r="B61" s="1" t="s">
        <v>123</v>
      </c>
      <c r="C61" s="1" t="s">
        <v>54</v>
      </c>
      <c r="D61" s="1" t="s">
        <v>331</v>
      </c>
      <c r="E61" s="1" t="s">
        <v>175</v>
      </c>
      <c r="F61" s="1" t="s">
        <v>25</v>
      </c>
      <c r="G61" s="1" t="s">
        <v>174</v>
      </c>
      <c r="H61" s="1" t="s">
        <v>332</v>
      </c>
      <c r="I61" s="1" t="s">
        <v>333</v>
      </c>
      <c r="J61" s="4">
        <v>32</v>
      </c>
      <c r="K61" s="4"/>
      <c r="L61" s="4">
        <v>1</v>
      </c>
      <c r="M61" s="51" t="b">
        <v>0</v>
      </c>
      <c r="N61" s="55" t="str">
        <f t="shared" si="3"/>
        <v>Pas encore</v>
      </c>
      <c r="O61" s="27"/>
      <c r="P61" s="27"/>
      <c r="Q61" s="10"/>
      <c r="R61" s="10"/>
      <c r="S61" s="19"/>
      <c r="T61" s="23"/>
      <c r="U61" s="24"/>
      <c r="V61" s="24"/>
      <c r="W61" s="25"/>
    </row>
    <row r="62" spans="1:23" ht="13.8" x14ac:dyDescent="0.25">
      <c r="A62" s="2">
        <f t="shared" si="0"/>
        <v>58</v>
      </c>
      <c r="B62" s="1" t="s">
        <v>123</v>
      </c>
      <c r="C62" s="1" t="s">
        <v>54</v>
      </c>
      <c r="D62" s="1" t="s">
        <v>334</v>
      </c>
      <c r="E62" s="1" t="s">
        <v>180</v>
      </c>
      <c r="F62" s="1" t="s">
        <v>25</v>
      </c>
      <c r="G62" s="1" t="s">
        <v>174</v>
      </c>
      <c r="H62" s="1" t="s">
        <v>335</v>
      </c>
      <c r="I62" s="1" t="s">
        <v>336</v>
      </c>
      <c r="J62" s="4">
        <v>32</v>
      </c>
      <c r="K62" s="4"/>
      <c r="L62" s="4">
        <v>1</v>
      </c>
      <c r="M62" s="51" t="b">
        <v>0</v>
      </c>
      <c r="N62" s="55" t="str">
        <f t="shared" si="3"/>
        <v>Pas encore</v>
      </c>
      <c r="O62" s="27"/>
      <c r="P62" s="27"/>
      <c r="Q62" s="10"/>
      <c r="R62" s="10"/>
      <c r="S62" s="19"/>
      <c r="T62" s="23"/>
      <c r="U62" s="24"/>
      <c r="V62" s="24"/>
      <c r="W62" s="25"/>
    </row>
    <row r="63" spans="1:23" ht="13.8" x14ac:dyDescent="0.25">
      <c r="A63" s="2">
        <f t="shared" si="0"/>
        <v>59</v>
      </c>
      <c r="B63" s="1" t="s">
        <v>123</v>
      </c>
      <c r="C63" s="1" t="s">
        <v>54</v>
      </c>
      <c r="D63" s="1" t="s">
        <v>337</v>
      </c>
      <c r="E63" s="1" t="s">
        <v>168</v>
      </c>
      <c r="F63" s="1" t="s">
        <v>22</v>
      </c>
      <c r="G63" s="1" t="s">
        <v>168</v>
      </c>
      <c r="H63" s="1" t="s">
        <v>338</v>
      </c>
      <c r="I63" s="1" t="s">
        <v>339</v>
      </c>
      <c r="J63" s="4">
        <v>32</v>
      </c>
      <c r="K63" s="4"/>
      <c r="L63" s="4">
        <v>1</v>
      </c>
      <c r="M63" s="51" t="b">
        <v>0</v>
      </c>
      <c r="N63" s="55" t="str">
        <f t="shared" si="3"/>
        <v>Pas encore</v>
      </c>
      <c r="O63" s="27"/>
      <c r="P63" s="27"/>
      <c r="Q63" s="10"/>
      <c r="R63" s="10"/>
      <c r="S63" s="19"/>
      <c r="T63" s="23"/>
      <c r="U63" s="24"/>
      <c r="V63" s="24"/>
      <c r="W63" s="25"/>
    </row>
    <row r="64" spans="1:23" ht="13.8" x14ac:dyDescent="0.25">
      <c r="A64" s="2">
        <f t="shared" si="0"/>
        <v>60</v>
      </c>
      <c r="B64" s="1" t="s">
        <v>340</v>
      </c>
      <c r="C64" s="1" t="s">
        <v>54</v>
      </c>
      <c r="D64" s="1" t="s">
        <v>341</v>
      </c>
      <c r="E64" s="1" t="s">
        <v>184</v>
      </c>
      <c r="F64" s="1" t="s">
        <v>22</v>
      </c>
      <c r="G64" s="1" t="s">
        <v>184</v>
      </c>
      <c r="H64" s="1" t="s">
        <v>342</v>
      </c>
      <c r="I64" s="1" t="s">
        <v>343</v>
      </c>
      <c r="J64" s="4">
        <v>36</v>
      </c>
      <c r="K64" s="4"/>
      <c r="L64" s="4">
        <v>1</v>
      </c>
      <c r="M64" s="51" t="b">
        <v>0</v>
      </c>
      <c r="N64" s="55" t="str">
        <f t="shared" si="3"/>
        <v>Pas encore</v>
      </c>
      <c r="O64" s="28"/>
      <c r="P64" s="28"/>
      <c r="Q64" s="10"/>
      <c r="R64" s="10"/>
      <c r="S64" s="19"/>
      <c r="T64" s="23"/>
      <c r="U64" s="24"/>
      <c r="V64" s="24"/>
      <c r="W64" s="25"/>
    </row>
    <row r="65" spans="1:23" ht="13.8" x14ac:dyDescent="0.25">
      <c r="A65" s="2">
        <f t="shared" si="0"/>
        <v>61</v>
      </c>
      <c r="B65" s="1" t="s">
        <v>340</v>
      </c>
      <c r="C65" s="1" t="s">
        <v>54</v>
      </c>
      <c r="D65" s="1" t="s">
        <v>344</v>
      </c>
      <c r="E65" s="1" t="s">
        <v>189</v>
      </c>
      <c r="F65" s="1" t="s">
        <v>22</v>
      </c>
      <c r="G65" s="1" t="s">
        <v>189</v>
      </c>
      <c r="H65" s="1" t="s">
        <v>345</v>
      </c>
      <c r="I65" s="1" t="s">
        <v>346</v>
      </c>
      <c r="J65" s="4">
        <v>36</v>
      </c>
      <c r="K65" s="4"/>
      <c r="L65" s="4">
        <v>2</v>
      </c>
      <c r="M65" s="51" t="b">
        <v>0</v>
      </c>
      <c r="N65" s="55" t="str">
        <f t="shared" si="3"/>
        <v>Pas encore</v>
      </c>
      <c r="O65" s="48">
        <f>COUNTA(N65:N100)</f>
        <v>36</v>
      </c>
      <c r="P65" s="41" t="s">
        <v>347</v>
      </c>
      <c r="Q65" s="10"/>
      <c r="R65" s="10"/>
      <c r="S65" s="19"/>
      <c r="T65" s="23"/>
      <c r="U65" s="24"/>
      <c r="V65" s="24"/>
      <c r="W65" s="25"/>
    </row>
    <row r="66" spans="1:23" ht="13.8" x14ac:dyDescent="0.25">
      <c r="A66" s="2">
        <f t="shared" si="0"/>
        <v>62</v>
      </c>
      <c r="B66" s="1" t="s">
        <v>348</v>
      </c>
      <c r="C66" s="1" t="s">
        <v>54</v>
      </c>
      <c r="D66" s="1" t="s">
        <v>349</v>
      </c>
      <c r="E66" s="1" t="s">
        <v>191</v>
      </c>
      <c r="F66" s="1" t="s">
        <v>25</v>
      </c>
      <c r="G66" s="1" t="s">
        <v>190</v>
      </c>
      <c r="H66" s="1" t="s">
        <v>350</v>
      </c>
      <c r="I66" s="1" t="s">
        <v>351</v>
      </c>
      <c r="J66" s="4">
        <v>39</v>
      </c>
      <c r="K66" s="4"/>
      <c r="L66" s="4">
        <v>2</v>
      </c>
      <c r="M66" s="51" t="b">
        <v>0</v>
      </c>
      <c r="N66" s="55" t="str">
        <f t="shared" si="3"/>
        <v>Pas encore</v>
      </c>
      <c r="O66" s="27"/>
      <c r="P66" s="27"/>
      <c r="Q66" s="10"/>
      <c r="R66" s="10"/>
      <c r="S66" s="19"/>
      <c r="T66" s="23"/>
      <c r="U66" s="24"/>
      <c r="V66" s="24"/>
      <c r="W66" s="25"/>
    </row>
    <row r="67" spans="1:23" ht="13.8" x14ac:dyDescent="0.25">
      <c r="A67" s="2">
        <f t="shared" si="0"/>
        <v>63</v>
      </c>
      <c r="B67" s="1" t="s">
        <v>348</v>
      </c>
      <c r="C67" s="1" t="s">
        <v>54</v>
      </c>
      <c r="D67" s="1" t="s">
        <v>352</v>
      </c>
      <c r="E67" s="1" t="s">
        <v>195</v>
      </c>
      <c r="F67" s="1" t="s">
        <v>25</v>
      </c>
      <c r="G67" s="1" t="s">
        <v>190</v>
      </c>
      <c r="H67" s="1" t="s">
        <v>353</v>
      </c>
      <c r="I67" s="1" t="s">
        <v>354</v>
      </c>
      <c r="J67" s="4">
        <v>36</v>
      </c>
      <c r="K67" s="4"/>
      <c r="L67" s="4">
        <v>1</v>
      </c>
      <c r="M67" s="51" t="b">
        <v>0</v>
      </c>
      <c r="N67" s="55" t="str">
        <f t="shared" si="3"/>
        <v>Pas encore</v>
      </c>
      <c r="O67" s="27"/>
      <c r="P67" s="27"/>
      <c r="Q67" s="10"/>
      <c r="R67" s="10"/>
      <c r="S67" s="19"/>
      <c r="T67" s="23"/>
      <c r="U67" s="24"/>
      <c r="V67" s="24"/>
      <c r="W67" s="25"/>
    </row>
    <row r="68" spans="1:23" ht="13.8" x14ac:dyDescent="0.25">
      <c r="A68" s="2">
        <f t="shared" si="0"/>
        <v>64</v>
      </c>
      <c r="B68" s="1" t="s">
        <v>348</v>
      </c>
      <c r="C68" s="1" t="s">
        <v>54</v>
      </c>
      <c r="D68" s="1" t="s">
        <v>355</v>
      </c>
      <c r="E68" s="1" t="s">
        <v>196</v>
      </c>
      <c r="F68" s="1" t="s">
        <v>25</v>
      </c>
      <c r="G68" s="1" t="s">
        <v>190</v>
      </c>
      <c r="H68" s="1" t="s">
        <v>356</v>
      </c>
      <c r="I68" s="1" t="s">
        <v>357</v>
      </c>
      <c r="J68" s="4">
        <v>30</v>
      </c>
      <c r="K68" s="4"/>
      <c r="L68" s="4">
        <v>1</v>
      </c>
      <c r="M68" s="51" t="b">
        <v>0</v>
      </c>
      <c r="N68" s="55" t="str">
        <f t="shared" si="3"/>
        <v>Pas encore</v>
      </c>
      <c r="O68" s="27"/>
      <c r="P68" s="27"/>
      <c r="Q68" s="10"/>
      <c r="R68" s="10"/>
      <c r="S68" s="19"/>
      <c r="T68" s="23"/>
      <c r="U68" s="24"/>
      <c r="V68" s="24"/>
      <c r="W68" s="25"/>
    </row>
    <row r="69" spans="1:23" ht="13.8" x14ac:dyDescent="0.25">
      <c r="A69" s="2">
        <f t="shared" si="0"/>
        <v>65</v>
      </c>
      <c r="B69" s="1" t="s">
        <v>340</v>
      </c>
      <c r="C69" s="1" t="s">
        <v>54</v>
      </c>
      <c r="D69" s="1" t="s">
        <v>358</v>
      </c>
      <c r="E69" s="1" t="s">
        <v>198</v>
      </c>
      <c r="F69" s="1" t="s">
        <v>25</v>
      </c>
      <c r="G69" s="1" t="s">
        <v>197</v>
      </c>
      <c r="H69" s="1" t="s">
        <v>359</v>
      </c>
      <c r="I69" s="1" t="s">
        <v>360</v>
      </c>
      <c r="J69" s="4">
        <v>34</v>
      </c>
      <c r="K69" s="4"/>
      <c r="L69" s="4">
        <v>1</v>
      </c>
      <c r="M69" s="51" t="b">
        <v>0</v>
      </c>
      <c r="N69" s="55" t="str">
        <f t="shared" si="3"/>
        <v>Pas encore</v>
      </c>
      <c r="O69" s="27"/>
      <c r="P69" s="27"/>
      <c r="Q69" s="10"/>
      <c r="R69" s="10"/>
      <c r="S69" s="19"/>
      <c r="T69" s="23"/>
      <c r="U69" s="24"/>
      <c r="V69" s="24"/>
      <c r="W69" s="25"/>
    </row>
    <row r="70" spans="1:23" ht="13.8" x14ac:dyDescent="0.25">
      <c r="A70" s="2">
        <f t="shared" si="0"/>
        <v>66</v>
      </c>
      <c r="B70" s="1" t="s">
        <v>361</v>
      </c>
      <c r="C70" s="1" t="s">
        <v>54</v>
      </c>
      <c r="D70" s="1" t="s">
        <v>362</v>
      </c>
      <c r="E70" s="1" t="s">
        <v>200</v>
      </c>
      <c r="F70" s="1" t="s">
        <v>22</v>
      </c>
      <c r="G70" s="1" t="s">
        <v>200</v>
      </c>
      <c r="H70" s="1" t="s">
        <v>363</v>
      </c>
      <c r="I70" s="1" t="s">
        <v>364</v>
      </c>
      <c r="J70" s="4">
        <v>58</v>
      </c>
      <c r="K70" s="4"/>
      <c r="L70" s="4">
        <v>2</v>
      </c>
      <c r="M70" s="51" t="b">
        <v>0</v>
      </c>
      <c r="N70" s="55" t="str">
        <f t="shared" si="3"/>
        <v>Pas encore</v>
      </c>
      <c r="O70" s="27"/>
      <c r="P70" s="27"/>
      <c r="Q70" s="10"/>
      <c r="R70" s="10"/>
      <c r="S70" s="19"/>
      <c r="T70" s="23"/>
      <c r="U70" s="24"/>
      <c r="V70" s="24"/>
      <c r="W70" s="25"/>
    </row>
    <row r="71" spans="1:23" ht="13.8" x14ac:dyDescent="0.25">
      <c r="A71" s="2">
        <f t="shared" si="0"/>
        <v>67</v>
      </c>
      <c r="B71" s="1" t="s">
        <v>365</v>
      </c>
      <c r="C71" s="1" t="s">
        <v>28</v>
      </c>
      <c r="D71" s="1" t="s">
        <v>366</v>
      </c>
      <c r="E71" s="1" t="s">
        <v>201</v>
      </c>
      <c r="F71" s="1" t="s">
        <v>22</v>
      </c>
      <c r="G71" s="1" t="s">
        <v>201</v>
      </c>
      <c r="H71" s="1" t="s">
        <v>367</v>
      </c>
      <c r="I71" s="1" t="s">
        <v>368</v>
      </c>
      <c r="J71" s="4">
        <v>83</v>
      </c>
      <c r="K71" s="4"/>
      <c r="L71" s="4">
        <v>3</v>
      </c>
      <c r="M71" s="51" t="b">
        <v>0</v>
      </c>
      <c r="N71" s="55" t="str">
        <f t="shared" si="3"/>
        <v>Pas encore</v>
      </c>
      <c r="O71" s="27"/>
      <c r="P71" s="27"/>
      <c r="Q71" s="10"/>
      <c r="R71" s="10"/>
      <c r="S71" s="19"/>
      <c r="T71" s="23"/>
      <c r="U71" s="24"/>
      <c r="V71" s="24"/>
      <c r="W71" s="25"/>
    </row>
    <row r="72" spans="1:23" ht="13.8" x14ac:dyDescent="0.25">
      <c r="A72" s="2">
        <f t="shared" si="0"/>
        <v>68</v>
      </c>
      <c r="B72" s="1" t="s">
        <v>132</v>
      </c>
      <c r="C72" s="1" t="s">
        <v>54</v>
      </c>
      <c r="D72" s="1" t="s">
        <v>369</v>
      </c>
      <c r="E72" s="1" t="s">
        <v>205</v>
      </c>
      <c r="F72" s="1" t="s">
        <v>22</v>
      </c>
      <c r="G72" s="1" t="s">
        <v>205</v>
      </c>
      <c r="H72" s="1" t="s">
        <v>370</v>
      </c>
      <c r="I72" s="1" t="s">
        <v>371</v>
      </c>
      <c r="J72" s="4">
        <v>40</v>
      </c>
      <c r="K72" s="4"/>
      <c r="L72" s="4">
        <v>2</v>
      </c>
      <c r="M72" s="51" t="b">
        <v>0</v>
      </c>
      <c r="N72" s="55" t="str">
        <f t="shared" si="3"/>
        <v>Pas encore</v>
      </c>
      <c r="O72" s="27"/>
      <c r="P72" s="27"/>
      <c r="Q72" s="10"/>
      <c r="R72" s="10"/>
      <c r="S72" s="19"/>
      <c r="T72" s="23"/>
      <c r="U72" s="24"/>
      <c r="V72" s="24"/>
      <c r="W72" s="25"/>
    </row>
    <row r="73" spans="1:23" ht="13.8" x14ac:dyDescent="0.25">
      <c r="A73" s="2">
        <f t="shared" si="0"/>
        <v>69</v>
      </c>
      <c r="B73" s="1" t="s">
        <v>132</v>
      </c>
      <c r="C73" s="1" t="s">
        <v>54</v>
      </c>
      <c r="D73" s="1" t="s">
        <v>372</v>
      </c>
      <c r="E73" s="1" t="s">
        <v>209</v>
      </c>
      <c r="F73" s="1" t="s">
        <v>6</v>
      </c>
      <c r="G73" s="1" t="s">
        <v>209</v>
      </c>
      <c r="H73" s="1" t="s">
        <v>373</v>
      </c>
      <c r="I73" s="1" t="s">
        <v>374</v>
      </c>
      <c r="J73" s="4">
        <v>22</v>
      </c>
      <c r="K73" s="4"/>
      <c r="L73" s="4">
        <v>2</v>
      </c>
      <c r="M73" s="51" t="b">
        <v>0</v>
      </c>
      <c r="N73" s="55" t="str">
        <f t="shared" si="3"/>
        <v>Pas encore</v>
      </c>
      <c r="O73" s="27"/>
      <c r="P73" s="27"/>
      <c r="Q73" s="10"/>
      <c r="R73" s="10"/>
      <c r="S73" s="19"/>
      <c r="T73" s="23"/>
      <c r="U73" s="24"/>
      <c r="V73" s="24"/>
      <c r="W73" s="25"/>
    </row>
    <row r="74" spans="1:23" ht="13.8" x14ac:dyDescent="0.25">
      <c r="A74" s="2">
        <f t="shared" si="0"/>
        <v>70</v>
      </c>
      <c r="B74" s="1" t="s">
        <v>375</v>
      </c>
      <c r="C74" s="1" t="s">
        <v>54</v>
      </c>
      <c r="D74" s="1" t="s">
        <v>376</v>
      </c>
      <c r="E74" s="1" t="s">
        <v>213</v>
      </c>
      <c r="F74" s="1" t="s">
        <v>22</v>
      </c>
      <c r="G74" s="1" t="s">
        <v>213</v>
      </c>
      <c r="H74" s="1" t="s">
        <v>377</v>
      </c>
      <c r="I74" s="1" t="s">
        <v>378</v>
      </c>
      <c r="J74" s="4">
        <v>47</v>
      </c>
      <c r="K74" s="4"/>
      <c r="L74" s="4">
        <v>2</v>
      </c>
      <c r="M74" s="51" t="b">
        <v>0</v>
      </c>
      <c r="N74" s="55" t="str">
        <f t="shared" si="3"/>
        <v>Pas encore</v>
      </c>
      <c r="O74" s="27"/>
      <c r="P74" s="27"/>
      <c r="Q74" s="10"/>
      <c r="R74" s="10"/>
      <c r="S74" s="19"/>
      <c r="T74" s="23"/>
      <c r="U74" s="24"/>
      <c r="V74" s="24"/>
      <c r="W74" s="25"/>
    </row>
    <row r="75" spans="1:23" ht="13.8" x14ac:dyDescent="0.25">
      <c r="A75" s="2">
        <f t="shared" si="0"/>
        <v>71</v>
      </c>
      <c r="B75" s="1" t="s">
        <v>375</v>
      </c>
      <c r="C75" s="1" t="s">
        <v>54</v>
      </c>
      <c r="D75" s="1" t="s">
        <v>379</v>
      </c>
      <c r="E75" s="1" t="s">
        <v>215</v>
      </c>
      <c r="F75" s="1" t="s">
        <v>25</v>
      </c>
      <c r="G75" s="1" t="s">
        <v>214</v>
      </c>
      <c r="H75" s="1" t="s">
        <v>380</v>
      </c>
      <c r="I75" s="1" t="s">
        <v>381</v>
      </c>
      <c r="J75" s="4">
        <v>42</v>
      </c>
      <c r="K75" s="4"/>
      <c r="L75" s="4">
        <v>2</v>
      </c>
      <c r="M75" s="51" t="b">
        <v>0</v>
      </c>
      <c r="N75" s="55" t="str">
        <f t="shared" si="3"/>
        <v>Pas encore</v>
      </c>
      <c r="O75" s="27"/>
      <c r="P75" s="27"/>
      <c r="Q75" s="10"/>
      <c r="R75" s="10"/>
      <c r="S75" s="19"/>
      <c r="T75" s="23"/>
      <c r="U75" s="24"/>
      <c r="V75" s="24"/>
      <c r="W75" s="25"/>
    </row>
    <row r="76" spans="1:23" ht="13.8" x14ac:dyDescent="0.25">
      <c r="A76" s="2">
        <f t="shared" si="0"/>
        <v>72</v>
      </c>
      <c r="B76" s="1" t="s">
        <v>375</v>
      </c>
      <c r="C76" s="1" t="s">
        <v>54</v>
      </c>
      <c r="D76" s="1" t="s">
        <v>382</v>
      </c>
      <c r="E76" s="1" t="s">
        <v>214</v>
      </c>
      <c r="F76" s="1" t="s">
        <v>22</v>
      </c>
      <c r="G76" s="1" t="s">
        <v>214</v>
      </c>
      <c r="H76" s="1" t="s">
        <v>383</v>
      </c>
      <c r="I76" s="1" t="s">
        <v>384</v>
      </c>
      <c r="J76" s="4">
        <v>38</v>
      </c>
      <c r="K76" s="4"/>
      <c r="L76" s="4">
        <v>1</v>
      </c>
      <c r="M76" s="51" t="b">
        <v>0</v>
      </c>
      <c r="N76" s="55" t="str">
        <f t="shared" si="3"/>
        <v>Pas encore</v>
      </c>
      <c r="O76" s="27"/>
      <c r="P76" s="27"/>
      <c r="Q76" s="10"/>
      <c r="R76" s="10"/>
      <c r="S76" s="19"/>
      <c r="T76" s="23"/>
      <c r="U76" s="24"/>
      <c r="V76" s="24"/>
      <c r="W76" s="25"/>
    </row>
    <row r="77" spans="1:23" ht="13.8" x14ac:dyDescent="0.25">
      <c r="A77" s="2">
        <f t="shared" si="0"/>
        <v>73</v>
      </c>
      <c r="B77" s="1" t="s">
        <v>375</v>
      </c>
      <c r="C77" s="1" t="s">
        <v>54</v>
      </c>
      <c r="D77" s="1" t="s">
        <v>385</v>
      </c>
      <c r="E77" s="1" t="s">
        <v>222</v>
      </c>
      <c r="F77" s="1" t="s">
        <v>25</v>
      </c>
      <c r="G77" s="1" t="s">
        <v>213</v>
      </c>
      <c r="H77" s="1" t="s">
        <v>386</v>
      </c>
      <c r="I77" s="1" t="s">
        <v>387</v>
      </c>
      <c r="J77" s="4">
        <v>29</v>
      </c>
      <c r="K77" s="4"/>
      <c r="L77" s="4">
        <v>1</v>
      </c>
      <c r="M77" s="51" t="b">
        <v>0</v>
      </c>
      <c r="N77" s="55" t="str">
        <f t="shared" si="3"/>
        <v>Pas encore</v>
      </c>
      <c r="O77" s="27"/>
      <c r="P77" s="27"/>
      <c r="Q77" s="10"/>
      <c r="R77" s="10"/>
      <c r="S77" s="19"/>
      <c r="T77" s="23"/>
      <c r="U77" s="24"/>
      <c r="V77" s="24"/>
      <c r="W77" s="25"/>
    </row>
    <row r="78" spans="1:23" ht="13.8" x14ac:dyDescent="0.25">
      <c r="A78" s="2">
        <f t="shared" si="0"/>
        <v>74</v>
      </c>
      <c r="B78" s="1" t="s">
        <v>143</v>
      </c>
      <c r="C78" s="1" t="s">
        <v>54</v>
      </c>
      <c r="D78" s="1" t="s">
        <v>388</v>
      </c>
      <c r="E78" s="1" t="s">
        <v>224</v>
      </c>
      <c r="F78" s="1" t="s">
        <v>25</v>
      </c>
      <c r="G78" s="1" t="s">
        <v>223</v>
      </c>
      <c r="H78" s="1" t="s">
        <v>389</v>
      </c>
      <c r="I78" s="1" t="s">
        <v>390</v>
      </c>
      <c r="J78" s="4">
        <v>41</v>
      </c>
      <c r="K78" s="4"/>
      <c r="L78" s="4">
        <v>2</v>
      </c>
      <c r="M78" s="51" t="b">
        <v>0</v>
      </c>
      <c r="N78" s="55" t="str">
        <f t="shared" si="3"/>
        <v>Pas encore</v>
      </c>
      <c r="O78" s="27"/>
      <c r="P78" s="27"/>
      <c r="Q78" s="10"/>
      <c r="R78" s="10"/>
      <c r="S78" s="19"/>
      <c r="T78" s="23"/>
      <c r="U78" s="24"/>
      <c r="V78" s="24"/>
      <c r="W78" s="25"/>
    </row>
    <row r="79" spans="1:23" ht="13.8" x14ac:dyDescent="0.25">
      <c r="A79" s="2">
        <f t="shared" si="0"/>
        <v>75</v>
      </c>
      <c r="B79" s="1" t="s">
        <v>391</v>
      </c>
      <c r="C79" s="1" t="s">
        <v>54</v>
      </c>
      <c r="D79" s="1" t="s">
        <v>392</v>
      </c>
      <c r="E79" s="1" t="s">
        <v>228</v>
      </c>
      <c r="F79" s="1" t="s">
        <v>22</v>
      </c>
      <c r="G79" s="1" t="s">
        <v>228</v>
      </c>
      <c r="H79" s="1" t="s">
        <v>393</v>
      </c>
      <c r="I79" s="1" t="s">
        <v>394</v>
      </c>
      <c r="J79" s="4">
        <v>40</v>
      </c>
      <c r="K79" s="4"/>
      <c r="L79" s="4">
        <v>2</v>
      </c>
      <c r="M79" s="51" t="b">
        <v>0</v>
      </c>
      <c r="N79" s="55" t="str">
        <f t="shared" si="3"/>
        <v>Pas encore</v>
      </c>
      <c r="O79" s="27"/>
      <c r="P79" s="27"/>
      <c r="Q79" s="10"/>
      <c r="R79" s="10"/>
      <c r="S79" s="19"/>
      <c r="T79" s="23"/>
      <c r="U79" s="24"/>
      <c r="V79" s="24"/>
      <c r="W79" s="25"/>
    </row>
    <row r="80" spans="1:23" ht="13.8" x14ac:dyDescent="0.25">
      <c r="A80" s="2">
        <f t="shared" si="0"/>
        <v>76</v>
      </c>
      <c r="B80" s="1" t="s">
        <v>395</v>
      </c>
      <c r="C80" s="1" t="s">
        <v>54</v>
      </c>
      <c r="D80" s="1" t="s">
        <v>396</v>
      </c>
      <c r="E80" s="1" t="s">
        <v>231</v>
      </c>
      <c r="F80" s="1" t="s">
        <v>22</v>
      </c>
      <c r="G80" s="1" t="s">
        <v>231</v>
      </c>
      <c r="H80" s="1" t="s">
        <v>397</v>
      </c>
      <c r="I80" s="1" t="s">
        <v>398</v>
      </c>
      <c r="J80" s="4">
        <v>45</v>
      </c>
      <c r="K80" s="4"/>
      <c r="L80" s="4">
        <v>2</v>
      </c>
      <c r="M80" s="51" t="b">
        <v>0</v>
      </c>
      <c r="N80" s="55" t="str">
        <f t="shared" si="3"/>
        <v>Pas encore</v>
      </c>
      <c r="O80" s="27"/>
      <c r="P80" s="27"/>
      <c r="Q80" s="10"/>
      <c r="R80" s="10"/>
      <c r="S80" s="19"/>
      <c r="T80" s="23"/>
      <c r="U80" s="24"/>
      <c r="V80" s="24"/>
      <c r="W80" s="25"/>
    </row>
    <row r="81" spans="1:23" ht="13.8" x14ac:dyDescent="0.25">
      <c r="A81" s="2">
        <f t="shared" si="0"/>
        <v>77</v>
      </c>
      <c r="B81" s="1" t="s">
        <v>395</v>
      </c>
      <c r="C81" s="1" t="s">
        <v>54</v>
      </c>
      <c r="D81" s="1" t="s">
        <v>399</v>
      </c>
      <c r="E81" s="1" t="s">
        <v>234</v>
      </c>
      <c r="F81" s="1" t="s">
        <v>25</v>
      </c>
      <c r="G81" s="1" t="s">
        <v>233</v>
      </c>
      <c r="H81" s="1" t="s">
        <v>400</v>
      </c>
      <c r="I81" s="1" t="s">
        <v>401</v>
      </c>
      <c r="J81" s="4">
        <v>36</v>
      </c>
      <c r="K81" s="4"/>
      <c r="L81" s="4">
        <v>2</v>
      </c>
      <c r="M81" s="51" t="b">
        <v>0</v>
      </c>
      <c r="N81" s="55" t="str">
        <f t="shared" si="3"/>
        <v>Pas encore</v>
      </c>
      <c r="O81" s="27"/>
      <c r="P81" s="27"/>
      <c r="Q81" s="10"/>
      <c r="R81" s="10"/>
      <c r="S81" s="19"/>
      <c r="T81" s="23"/>
      <c r="U81" s="24"/>
      <c r="V81" s="24"/>
      <c r="W81" s="25"/>
    </row>
    <row r="82" spans="1:23" ht="13.8" x14ac:dyDescent="0.25">
      <c r="A82" s="2">
        <f t="shared" si="0"/>
        <v>78</v>
      </c>
      <c r="B82" s="1" t="s">
        <v>395</v>
      </c>
      <c r="C82" s="1" t="s">
        <v>54</v>
      </c>
      <c r="D82" s="1" t="s">
        <v>402</v>
      </c>
      <c r="E82" s="1" t="s">
        <v>238</v>
      </c>
      <c r="F82" s="1" t="s">
        <v>25</v>
      </c>
      <c r="G82" s="1" t="s">
        <v>231</v>
      </c>
      <c r="H82" s="1" t="s">
        <v>403</v>
      </c>
      <c r="I82" s="1" t="s">
        <v>404</v>
      </c>
      <c r="J82" s="4">
        <v>35</v>
      </c>
      <c r="K82" s="4"/>
      <c r="L82" s="4">
        <v>1</v>
      </c>
      <c r="M82" s="51" t="b">
        <v>0</v>
      </c>
      <c r="N82" s="55" t="str">
        <f t="shared" si="3"/>
        <v>Pas encore</v>
      </c>
      <c r="O82" s="27"/>
      <c r="P82" s="27"/>
      <c r="Q82" s="10"/>
      <c r="R82" s="10"/>
      <c r="S82" s="19"/>
      <c r="T82" s="23"/>
      <c r="U82" s="24"/>
      <c r="V82" s="24"/>
      <c r="W82" s="25"/>
    </row>
    <row r="83" spans="1:23" ht="13.8" x14ac:dyDescent="0.25">
      <c r="A83" s="2">
        <f t="shared" si="0"/>
        <v>79</v>
      </c>
      <c r="B83" s="1" t="s">
        <v>395</v>
      </c>
      <c r="C83" s="1" t="s">
        <v>54</v>
      </c>
      <c r="D83" s="1" t="s">
        <v>405</v>
      </c>
      <c r="E83" s="1" t="s">
        <v>239</v>
      </c>
      <c r="F83" s="1" t="s">
        <v>22</v>
      </c>
      <c r="G83" s="1" t="s">
        <v>239</v>
      </c>
      <c r="H83" s="1" t="s">
        <v>406</v>
      </c>
      <c r="I83" s="1" t="s">
        <v>407</v>
      </c>
      <c r="J83" s="4">
        <v>35</v>
      </c>
      <c r="K83" s="4"/>
      <c r="L83" s="4">
        <v>1</v>
      </c>
      <c r="M83" s="51" t="b">
        <v>0</v>
      </c>
      <c r="N83" s="55" t="str">
        <f t="shared" si="3"/>
        <v>Pas encore</v>
      </c>
      <c r="O83" s="27"/>
      <c r="P83" s="27"/>
      <c r="Q83" s="10"/>
      <c r="R83" s="10"/>
      <c r="S83" s="19"/>
      <c r="T83" s="23"/>
      <c r="U83" s="24"/>
      <c r="V83" s="24"/>
      <c r="W83" s="25"/>
    </row>
    <row r="84" spans="1:23" ht="13.8" x14ac:dyDescent="0.25">
      <c r="A84" s="2">
        <f t="shared" si="0"/>
        <v>80</v>
      </c>
      <c r="B84" s="1" t="s">
        <v>408</v>
      </c>
      <c r="C84" s="1" t="s">
        <v>28</v>
      </c>
      <c r="D84" s="1" t="s">
        <v>409</v>
      </c>
      <c r="E84" s="1" t="s">
        <v>243</v>
      </c>
      <c r="F84" s="1" t="s">
        <v>6</v>
      </c>
      <c r="G84" s="1" t="s">
        <v>243</v>
      </c>
      <c r="H84" s="1" t="s">
        <v>410</v>
      </c>
      <c r="I84" s="1" t="s">
        <v>411</v>
      </c>
      <c r="J84" s="4">
        <v>124</v>
      </c>
      <c r="K84" s="4"/>
      <c r="L84" s="4">
        <v>4</v>
      </c>
      <c r="M84" s="51" t="b">
        <v>0</v>
      </c>
      <c r="N84" s="55" t="str">
        <f t="shared" si="3"/>
        <v>Pas encore</v>
      </c>
      <c r="O84" s="27"/>
      <c r="P84" s="27"/>
      <c r="Q84" s="10"/>
      <c r="R84" s="10"/>
      <c r="S84" s="19"/>
      <c r="T84" s="23"/>
      <c r="U84" s="24"/>
      <c r="V84" s="24"/>
      <c r="W84" s="25"/>
    </row>
    <row r="85" spans="1:23" ht="13.8" x14ac:dyDescent="0.25">
      <c r="A85" s="2">
        <f t="shared" si="0"/>
        <v>81</v>
      </c>
      <c r="B85" s="1" t="s">
        <v>408</v>
      </c>
      <c r="C85" s="1" t="s">
        <v>28</v>
      </c>
      <c r="D85" s="1" t="s">
        <v>412</v>
      </c>
      <c r="E85" s="1" t="s">
        <v>245</v>
      </c>
      <c r="F85" s="1" t="s">
        <v>6</v>
      </c>
      <c r="G85" s="1" t="s">
        <v>245</v>
      </c>
      <c r="H85" s="1" t="s">
        <v>413</v>
      </c>
      <c r="I85" s="1" t="s">
        <v>414</v>
      </c>
      <c r="J85" s="4">
        <v>53</v>
      </c>
      <c r="K85" s="4"/>
      <c r="L85" s="4">
        <v>2</v>
      </c>
      <c r="M85" s="51" t="b">
        <v>0</v>
      </c>
      <c r="N85" s="55" t="str">
        <f t="shared" si="3"/>
        <v>Pas encore</v>
      </c>
      <c r="O85" s="27"/>
      <c r="P85" s="27"/>
      <c r="Q85" s="10"/>
      <c r="R85" s="10"/>
      <c r="S85" s="19"/>
      <c r="T85" s="23"/>
      <c r="U85" s="24"/>
      <c r="V85" s="24"/>
      <c r="W85" s="25"/>
    </row>
    <row r="86" spans="1:23" ht="13.8" x14ac:dyDescent="0.25">
      <c r="A86" s="2">
        <f t="shared" si="0"/>
        <v>82</v>
      </c>
      <c r="B86" s="1" t="s">
        <v>415</v>
      </c>
      <c r="C86" s="1" t="s">
        <v>54</v>
      </c>
      <c r="D86" s="1" t="s">
        <v>416</v>
      </c>
      <c r="E86" s="1" t="s">
        <v>248</v>
      </c>
      <c r="F86" s="1" t="s">
        <v>22</v>
      </c>
      <c r="G86" s="1" t="s">
        <v>248</v>
      </c>
      <c r="H86" s="1" t="s">
        <v>417</v>
      </c>
      <c r="I86" s="1" t="s">
        <v>418</v>
      </c>
      <c r="J86" s="4">
        <v>30</v>
      </c>
      <c r="K86" s="4"/>
      <c r="L86" s="4">
        <v>1</v>
      </c>
      <c r="M86" s="51" t="b">
        <v>0</v>
      </c>
      <c r="N86" s="55" t="str">
        <f t="shared" si="3"/>
        <v>Pas encore</v>
      </c>
      <c r="O86" s="27"/>
      <c r="P86" s="27"/>
      <c r="Q86" s="10"/>
      <c r="R86" s="10"/>
      <c r="S86" s="19"/>
      <c r="T86" s="23"/>
      <c r="U86" s="24"/>
      <c r="V86" s="24"/>
      <c r="W86" s="25"/>
    </row>
    <row r="87" spans="1:23" ht="13.8" x14ac:dyDescent="0.25">
      <c r="A87" s="2">
        <f t="shared" si="0"/>
        <v>83</v>
      </c>
      <c r="B87" s="1" t="s">
        <v>149</v>
      </c>
      <c r="C87" s="1" t="s">
        <v>28</v>
      </c>
      <c r="D87" s="1" t="s">
        <v>419</v>
      </c>
      <c r="E87" s="1" t="s">
        <v>252</v>
      </c>
      <c r="F87" s="1" t="s">
        <v>6</v>
      </c>
      <c r="G87" s="1" t="s">
        <v>252</v>
      </c>
      <c r="H87" s="1" t="s">
        <v>420</v>
      </c>
      <c r="I87" s="1" t="s">
        <v>421</v>
      </c>
      <c r="J87" s="4">
        <v>100</v>
      </c>
      <c r="K87" s="4"/>
      <c r="L87" s="4">
        <v>3</v>
      </c>
      <c r="M87" s="51" t="b">
        <v>0</v>
      </c>
      <c r="N87" s="55" t="str">
        <f t="shared" si="3"/>
        <v>Pas encore</v>
      </c>
      <c r="O87" s="27"/>
      <c r="P87" s="27"/>
      <c r="Q87" s="10"/>
      <c r="R87" s="10"/>
      <c r="S87" s="19"/>
      <c r="T87" s="23"/>
      <c r="U87" s="24"/>
      <c r="V87" s="24"/>
      <c r="W87" s="25"/>
    </row>
    <row r="88" spans="1:23" ht="13.8" x14ac:dyDescent="0.25">
      <c r="A88" s="2">
        <f t="shared" si="0"/>
        <v>84</v>
      </c>
      <c r="B88" s="1" t="s">
        <v>176</v>
      </c>
      <c r="C88" s="1" t="s">
        <v>54</v>
      </c>
      <c r="D88" s="1" t="s">
        <v>422</v>
      </c>
      <c r="E88" s="1" t="s">
        <v>257</v>
      </c>
      <c r="F88" s="1" t="s">
        <v>22</v>
      </c>
      <c r="G88" s="1" t="s">
        <v>257</v>
      </c>
      <c r="H88" s="1" t="s">
        <v>423</v>
      </c>
      <c r="I88" s="1" t="s">
        <v>424</v>
      </c>
      <c r="J88" s="4">
        <v>30</v>
      </c>
      <c r="K88" s="4"/>
      <c r="L88" s="4">
        <v>1</v>
      </c>
      <c r="M88" s="51" t="b">
        <v>0</v>
      </c>
      <c r="N88" s="55" t="str">
        <f t="shared" si="3"/>
        <v>Pas encore</v>
      </c>
      <c r="O88" s="27"/>
      <c r="P88" s="27"/>
      <c r="Q88" s="10"/>
      <c r="R88" s="10"/>
      <c r="S88" s="19"/>
      <c r="T88" s="23"/>
      <c r="U88" s="24"/>
      <c r="V88" s="24"/>
      <c r="W88" s="25"/>
    </row>
    <row r="89" spans="1:23" ht="13.8" x14ac:dyDescent="0.25">
      <c r="A89" s="2">
        <f t="shared" si="0"/>
        <v>85</v>
      </c>
      <c r="B89" s="1" t="s">
        <v>425</v>
      </c>
      <c r="C89" s="1" t="s">
        <v>54</v>
      </c>
      <c r="D89" s="1" t="s">
        <v>426</v>
      </c>
      <c r="E89" s="1" t="s">
        <v>258</v>
      </c>
      <c r="F89" s="1" t="s">
        <v>22</v>
      </c>
      <c r="G89" s="1" t="s">
        <v>258</v>
      </c>
      <c r="H89" s="1" t="s">
        <v>427</v>
      </c>
      <c r="I89" s="1" t="s">
        <v>428</v>
      </c>
      <c r="J89" s="4">
        <v>57</v>
      </c>
      <c r="K89" s="4"/>
      <c r="L89" s="4">
        <v>2</v>
      </c>
      <c r="M89" s="51" t="b">
        <v>0</v>
      </c>
      <c r="N89" s="55" t="str">
        <f t="shared" si="3"/>
        <v>Pas encore</v>
      </c>
      <c r="O89" s="27"/>
      <c r="P89" s="27"/>
      <c r="Q89" s="10"/>
      <c r="R89" s="10"/>
      <c r="S89" s="19"/>
      <c r="T89" s="23"/>
      <c r="U89" s="24"/>
      <c r="V89" s="24"/>
      <c r="W89" s="25"/>
    </row>
    <row r="90" spans="1:23" ht="13.8" x14ac:dyDescent="0.25">
      <c r="A90" s="2">
        <f t="shared" si="0"/>
        <v>86</v>
      </c>
      <c r="B90" s="1" t="s">
        <v>425</v>
      </c>
      <c r="C90" s="1" t="s">
        <v>54</v>
      </c>
      <c r="D90" s="1" t="s">
        <v>429</v>
      </c>
      <c r="E90" s="1" t="s">
        <v>263</v>
      </c>
      <c r="F90" s="1" t="s">
        <v>25</v>
      </c>
      <c r="G90" s="1" t="s">
        <v>262</v>
      </c>
      <c r="H90" s="1" t="s">
        <v>430</v>
      </c>
      <c r="I90" s="1" t="s">
        <v>431</v>
      </c>
      <c r="J90" s="4">
        <v>37</v>
      </c>
      <c r="K90" s="4"/>
      <c r="L90" s="4">
        <v>1</v>
      </c>
      <c r="M90" s="51" t="b">
        <v>0</v>
      </c>
      <c r="N90" s="55" t="str">
        <f t="shared" si="3"/>
        <v>Pas encore</v>
      </c>
      <c r="O90" s="27"/>
      <c r="P90" s="27"/>
      <c r="Q90" s="10"/>
      <c r="R90" s="10"/>
      <c r="S90" s="19"/>
      <c r="T90" s="23"/>
      <c r="U90" s="24"/>
      <c r="V90" s="24"/>
      <c r="W90" s="25"/>
    </row>
    <row r="91" spans="1:23" ht="13.8" x14ac:dyDescent="0.25">
      <c r="A91" s="2">
        <f t="shared" si="0"/>
        <v>87</v>
      </c>
      <c r="B91" s="1" t="s">
        <v>425</v>
      </c>
      <c r="C91" s="1" t="s">
        <v>54</v>
      </c>
      <c r="D91" s="1" t="s">
        <v>432</v>
      </c>
      <c r="E91" s="1" t="s">
        <v>262</v>
      </c>
      <c r="F91" s="1" t="s">
        <v>22</v>
      </c>
      <c r="G91" s="1" t="s">
        <v>262</v>
      </c>
      <c r="H91" s="1" t="s">
        <v>433</v>
      </c>
      <c r="I91" s="1" t="s">
        <v>434</v>
      </c>
      <c r="J91" s="4">
        <v>36</v>
      </c>
      <c r="K91" s="4"/>
      <c r="L91" s="4">
        <v>1</v>
      </c>
      <c r="M91" s="51" t="b">
        <v>0</v>
      </c>
      <c r="N91" s="55" t="str">
        <f t="shared" si="3"/>
        <v>Pas encore</v>
      </c>
      <c r="O91" s="27"/>
      <c r="P91" s="27"/>
      <c r="Q91" s="10"/>
      <c r="R91" s="10"/>
      <c r="S91" s="19"/>
      <c r="T91" s="23"/>
      <c r="U91" s="24"/>
      <c r="V91" s="24"/>
      <c r="W91" s="25"/>
    </row>
    <row r="92" spans="1:23" ht="13.8" x14ac:dyDescent="0.25">
      <c r="A92" s="2">
        <f t="shared" si="0"/>
        <v>88</v>
      </c>
      <c r="B92" s="1" t="s">
        <v>435</v>
      </c>
      <c r="C92" s="1" t="s">
        <v>54</v>
      </c>
      <c r="D92" s="1" t="s">
        <v>436</v>
      </c>
      <c r="E92" s="1" t="s">
        <v>270</v>
      </c>
      <c r="F92" s="1" t="s">
        <v>22</v>
      </c>
      <c r="G92" s="1" t="s">
        <v>270</v>
      </c>
      <c r="H92" s="1" t="s">
        <v>437</v>
      </c>
      <c r="I92" s="1" t="s">
        <v>438</v>
      </c>
      <c r="J92" s="4">
        <v>42</v>
      </c>
      <c r="K92" s="4"/>
      <c r="L92" s="4">
        <v>2</v>
      </c>
      <c r="M92" s="51" t="b">
        <v>0</v>
      </c>
      <c r="N92" s="55" t="str">
        <f t="shared" si="3"/>
        <v>Pas encore</v>
      </c>
      <c r="O92" s="27"/>
      <c r="P92" s="27"/>
      <c r="Q92" s="10"/>
      <c r="R92" s="10"/>
      <c r="S92" s="19"/>
      <c r="T92" s="23"/>
      <c r="U92" s="24"/>
      <c r="V92" s="24"/>
      <c r="W92" s="25"/>
    </row>
    <row r="93" spans="1:23" ht="13.8" x14ac:dyDescent="0.25">
      <c r="A93" s="2">
        <f t="shared" si="0"/>
        <v>89</v>
      </c>
      <c r="B93" s="1" t="s">
        <v>435</v>
      </c>
      <c r="C93" s="1" t="s">
        <v>54</v>
      </c>
      <c r="D93" s="1" t="s">
        <v>439</v>
      </c>
      <c r="E93" s="1" t="s">
        <v>271</v>
      </c>
      <c r="F93" s="1" t="s">
        <v>22</v>
      </c>
      <c r="G93" s="1" t="s">
        <v>271</v>
      </c>
      <c r="H93" s="1" t="s">
        <v>440</v>
      </c>
      <c r="I93" s="1" t="s">
        <v>441</v>
      </c>
      <c r="J93" s="4">
        <v>38</v>
      </c>
      <c r="K93" s="4"/>
      <c r="L93" s="4">
        <v>2</v>
      </c>
      <c r="M93" s="51" t="b">
        <v>0</v>
      </c>
      <c r="N93" s="55" t="str">
        <f t="shared" si="3"/>
        <v>Pas encore</v>
      </c>
      <c r="O93" s="27"/>
      <c r="P93" s="27"/>
      <c r="Q93" s="10"/>
      <c r="R93" s="10"/>
      <c r="S93" s="19"/>
      <c r="T93" s="23"/>
      <c r="U93" s="24"/>
      <c r="V93" s="24"/>
      <c r="W93" s="25"/>
    </row>
    <row r="94" spans="1:23" ht="13.8" x14ac:dyDescent="0.25">
      <c r="A94" s="2">
        <f t="shared" si="0"/>
        <v>90</v>
      </c>
      <c r="B94" s="1" t="s">
        <v>435</v>
      </c>
      <c r="C94" s="1" t="s">
        <v>54</v>
      </c>
      <c r="D94" s="1" t="s">
        <v>442</v>
      </c>
      <c r="E94" s="1" t="s">
        <v>273</v>
      </c>
      <c r="F94" s="1" t="s">
        <v>22</v>
      </c>
      <c r="G94" s="1" t="s">
        <v>273</v>
      </c>
      <c r="H94" s="1" t="s">
        <v>443</v>
      </c>
      <c r="I94" s="1" t="s">
        <v>444</v>
      </c>
      <c r="J94" s="4">
        <v>37</v>
      </c>
      <c r="K94" s="4"/>
      <c r="L94" s="4">
        <v>1</v>
      </c>
      <c r="M94" s="51" t="b">
        <v>0</v>
      </c>
      <c r="N94" s="55" t="str">
        <f t="shared" si="3"/>
        <v>Pas encore</v>
      </c>
      <c r="O94" s="27"/>
      <c r="P94" s="27"/>
      <c r="Q94" s="10"/>
      <c r="R94" s="10"/>
      <c r="S94" s="19"/>
      <c r="T94" s="23"/>
      <c r="U94" s="24"/>
      <c r="V94" s="24"/>
      <c r="W94" s="25"/>
    </row>
    <row r="95" spans="1:23" ht="13.8" x14ac:dyDescent="0.25">
      <c r="A95" s="2">
        <f t="shared" si="0"/>
        <v>91</v>
      </c>
      <c r="B95" s="1" t="s">
        <v>445</v>
      </c>
      <c r="C95" s="1" t="s">
        <v>54</v>
      </c>
      <c r="D95" s="1" t="s">
        <v>446</v>
      </c>
      <c r="E95" s="1" t="s">
        <v>276</v>
      </c>
      <c r="F95" s="1" t="s">
        <v>22</v>
      </c>
      <c r="G95" s="1" t="s">
        <v>276</v>
      </c>
      <c r="H95" s="1" t="s">
        <v>447</v>
      </c>
      <c r="I95" s="1" t="s">
        <v>448</v>
      </c>
      <c r="J95" s="4">
        <v>52</v>
      </c>
      <c r="K95" s="4"/>
      <c r="L95" s="4">
        <v>2</v>
      </c>
      <c r="M95" s="51" t="b">
        <v>0</v>
      </c>
      <c r="N95" s="55" t="str">
        <f t="shared" si="3"/>
        <v>Pas encore</v>
      </c>
      <c r="O95" s="27"/>
      <c r="P95" s="27"/>
      <c r="Q95" s="10"/>
      <c r="R95" s="10"/>
      <c r="S95" s="19"/>
      <c r="T95" s="23"/>
      <c r="U95" s="24"/>
      <c r="V95" s="24"/>
      <c r="W95" s="25"/>
    </row>
    <row r="96" spans="1:23" ht="13.8" x14ac:dyDescent="0.25">
      <c r="A96" s="2">
        <f t="shared" si="0"/>
        <v>92</v>
      </c>
      <c r="B96" s="1" t="s">
        <v>445</v>
      </c>
      <c r="C96" s="1" t="s">
        <v>54</v>
      </c>
      <c r="D96" s="1" t="s">
        <v>449</v>
      </c>
      <c r="E96" s="1" t="s">
        <v>280</v>
      </c>
      <c r="F96" s="1" t="s">
        <v>22</v>
      </c>
      <c r="G96" s="1" t="s">
        <v>280</v>
      </c>
      <c r="H96" s="1" t="s">
        <v>450</v>
      </c>
      <c r="I96" s="1" t="s">
        <v>451</v>
      </c>
      <c r="J96" s="4">
        <v>47</v>
      </c>
      <c r="K96" s="4"/>
      <c r="L96" s="4">
        <v>2</v>
      </c>
      <c r="M96" s="51" t="b">
        <v>0</v>
      </c>
      <c r="N96" s="55" t="str">
        <f t="shared" si="3"/>
        <v>Pas encore</v>
      </c>
      <c r="O96" s="27"/>
      <c r="P96" s="27"/>
      <c r="Q96" s="10"/>
      <c r="R96" s="10"/>
      <c r="S96" s="19"/>
      <c r="T96" s="23"/>
      <c r="U96" s="24"/>
      <c r="V96" s="24"/>
      <c r="W96" s="25"/>
    </row>
    <row r="97" spans="1:23" ht="13.8" x14ac:dyDescent="0.25">
      <c r="A97" s="2">
        <f t="shared" si="0"/>
        <v>93</v>
      </c>
      <c r="B97" s="1" t="s">
        <v>445</v>
      </c>
      <c r="C97" s="1" t="s">
        <v>54</v>
      </c>
      <c r="D97" s="1" t="s">
        <v>452</v>
      </c>
      <c r="E97" s="1" t="s">
        <v>283</v>
      </c>
      <c r="F97" s="1" t="s">
        <v>22</v>
      </c>
      <c r="G97" s="1" t="s">
        <v>283</v>
      </c>
      <c r="H97" s="1" t="s">
        <v>453</v>
      </c>
      <c r="I97" s="1" t="s">
        <v>454</v>
      </c>
      <c r="J97" s="4">
        <v>44</v>
      </c>
      <c r="K97" s="4"/>
      <c r="L97" s="4">
        <v>2</v>
      </c>
      <c r="M97" s="51" t="b">
        <v>0</v>
      </c>
      <c r="N97" s="55" t="str">
        <f t="shared" si="3"/>
        <v>Pas encore</v>
      </c>
      <c r="O97" s="27"/>
      <c r="P97" s="27"/>
      <c r="Q97" s="10"/>
      <c r="R97" s="10"/>
      <c r="S97" s="19"/>
      <c r="T97" s="23"/>
      <c r="U97" s="24"/>
      <c r="V97" s="24"/>
      <c r="W97" s="25"/>
    </row>
    <row r="98" spans="1:23" ht="13.8" x14ac:dyDescent="0.25">
      <c r="A98" s="2">
        <f t="shared" si="0"/>
        <v>94</v>
      </c>
      <c r="B98" s="1" t="s">
        <v>445</v>
      </c>
      <c r="C98" s="1" t="s">
        <v>54</v>
      </c>
      <c r="D98" s="1" t="s">
        <v>455</v>
      </c>
      <c r="E98" s="1" t="s">
        <v>286</v>
      </c>
      <c r="F98" s="1" t="s">
        <v>25</v>
      </c>
      <c r="G98" s="1" t="s">
        <v>280</v>
      </c>
      <c r="H98" s="1" t="s">
        <v>456</v>
      </c>
      <c r="I98" s="1" t="s">
        <v>457</v>
      </c>
      <c r="J98" s="4">
        <v>42</v>
      </c>
      <c r="K98" s="4"/>
      <c r="L98" s="4">
        <v>2</v>
      </c>
      <c r="M98" s="51" t="b">
        <v>0</v>
      </c>
      <c r="N98" s="55" t="str">
        <f t="shared" si="3"/>
        <v>Pas encore</v>
      </c>
      <c r="O98" s="27"/>
      <c r="P98" s="27"/>
      <c r="Q98" s="10"/>
      <c r="R98" s="10"/>
      <c r="S98" s="19"/>
      <c r="T98" s="23"/>
      <c r="U98" s="24"/>
      <c r="V98" s="24"/>
      <c r="W98" s="25"/>
    </row>
    <row r="99" spans="1:23" ht="13.8" x14ac:dyDescent="0.25">
      <c r="A99" s="2">
        <f t="shared" si="0"/>
        <v>95</v>
      </c>
      <c r="B99" s="1" t="s">
        <v>445</v>
      </c>
      <c r="C99" s="1" t="s">
        <v>54</v>
      </c>
      <c r="D99" s="1" t="s">
        <v>458</v>
      </c>
      <c r="E99" s="1" t="s">
        <v>290</v>
      </c>
      <c r="F99" s="1" t="s">
        <v>25</v>
      </c>
      <c r="G99" s="1" t="s">
        <v>276</v>
      </c>
      <c r="H99" s="1" t="s">
        <v>459</v>
      </c>
      <c r="I99" s="1" t="s">
        <v>460</v>
      </c>
      <c r="J99" s="4">
        <v>31</v>
      </c>
      <c r="K99" s="4"/>
      <c r="L99" s="4">
        <v>1</v>
      </c>
      <c r="M99" s="51" t="b">
        <v>0</v>
      </c>
      <c r="N99" s="55" t="str">
        <f t="shared" si="3"/>
        <v>Pas encore</v>
      </c>
      <c r="O99" s="27"/>
      <c r="P99" s="27"/>
      <c r="Q99" s="10"/>
      <c r="R99" s="10"/>
      <c r="S99" s="19"/>
      <c r="T99" s="23"/>
      <c r="U99" s="24"/>
      <c r="V99" s="24"/>
      <c r="W99" s="25"/>
    </row>
    <row r="100" spans="1:23" ht="13.8" x14ac:dyDescent="0.25">
      <c r="A100" s="2">
        <f t="shared" si="0"/>
        <v>96</v>
      </c>
      <c r="B100" s="1" t="s">
        <v>445</v>
      </c>
      <c r="C100" s="1" t="s">
        <v>54</v>
      </c>
      <c r="D100" s="1" t="s">
        <v>461</v>
      </c>
      <c r="E100" s="1" t="s">
        <v>291</v>
      </c>
      <c r="F100" s="1" t="s">
        <v>6</v>
      </c>
      <c r="G100" s="1" t="s">
        <v>291</v>
      </c>
      <c r="H100" s="1" t="s">
        <v>462</v>
      </c>
      <c r="I100" s="1" t="s">
        <v>463</v>
      </c>
      <c r="J100" s="4">
        <v>24</v>
      </c>
      <c r="K100" s="4"/>
      <c r="L100" s="4">
        <v>1</v>
      </c>
      <c r="M100" s="51" t="b">
        <v>0</v>
      </c>
      <c r="N100" s="55" t="str">
        <f t="shared" si="3"/>
        <v>Pas encore</v>
      </c>
      <c r="O100" s="28"/>
      <c r="P100" s="28"/>
      <c r="Q100" s="10"/>
      <c r="R100" s="10"/>
      <c r="S100" s="19"/>
      <c r="T100" s="23"/>
      <c r="U100" s="24"/>
      <c r="V100" s="24"/>
      <c r="W100" s="25"/>
    </row>
    <row r="101" spans="1:23" ht="21.6" x14ac:dyDescent="0.25">
      <c r="A101" s="29" t="s">
        <v>464</v>
      </c>
      <c r="B101" s="25"/>
      <c r="C101" s="29">
        <v>96</v>
      </c>
      <c r="D101" s="24"/>
      <c r="E101" s="24"/>
      <c r="F101" s="24"/>
      <c r="G101" s="24"/>
      <c r="H101" s="24"/>
      <c r="I101" s="25"/>
      <c r="J101" s="20">
        <f t="shared" ref="J101:L101" si="4">SUM(J5:J100)</f>
        <v>4771</v>
      </c>
      <c r="K101" s="20">
        <f t="shared" si="4"/>
        <v>306</v>
      </c>
      <c r="L101" s="20">
        <f t="shared" si="4"/>
        <v>173</v>
      </c>
      <c r="M101" s="42">
        <f>COUNTIF(M5:M100,TRUE)/96</f>
        <v>8.3333333333333329E-2</v>
      </c>
      <c r="N101" s="24"/>
      <c r="O101" s="24"/>
      <c r="P101" s="25"/>
      <c r="S101" s="21"/>
    </row>
    <row r="102" spans="1:23" ht="13.2" x14ac:dyDescent="0.25">
      <c r="I102" s="22"/>
      <c r="J102" s="22"/>
      <c r="K102" s="22"/>
      <c r="L102" s="22"/>
      <c r="M102" s="52"/>
      <c r="N102" s="52"/>
      <c r="S102" s="21"/>
    </row>
    <row r="103" spans="1:23" ht="13.2" x14ac:dyDescent="0.25">
      <c r="S103" s="21"/>
    </row>
    <row r="104" spans="1:23" ht="13.2" x14ac:dyDescent="0.25">
      <c r="S104" s="21"/>
    </row>
    <row r="105" spans="1:23" ht="13.2" x14ac:dyDescent="0.25">
      <c r="S105" s="21"/>
    </row>
    <row r="106" spans="1:23" ht="13.2" x14ac:dyDescent="0.25">
      <c r="S106" s="21"/>
    </row>
    <row r="107" spans="1:23" ht="13.2" x14ac:dyDescent="0.25">
      <c r="S107" s="21"/>
    </row>
    <row r="108" spans="1:23" ht="13.2" x14ac:dyDescent="0.25">
      <c r="S108" s="21"/>
    </row>
    <row r="109" spans="1:23" ht="13.2" x14ac:dyDescent="0.25">
      <c r="S109" s="21"/>
    </row>
    <row r="110" spans="1:23" ht="13.2" x14ac:dyDescent="0.25">
      <c r="S110" s="21"/>
    </row>
    <row r="111" spans="1:23" ht="13.2" x14ac:dyDescent="0.25">
      <c r="S111" s="21"/>
    </row>
    <row r="112" spans="1:23" ht="13.2" x14ac:dyDescent="0.25">
      <c r="S112" s="21"/>
    </row>
    <row r="113" spans="19:19" ht="13.2" x14ac:dyDescent="0.25">
      <c r="S113" s="21"/>
    </row>
    <row r="114" spans="19:19" ht="13.2" x14ac:dyDescent="0.25">
      <c r="S114" s="21"/>
    </row>
    <row r="115" spans="19:19" ht="13.2" x14ac:dyDescent="0.25">
      <c r="S115" s="21"/>
    </row>
    <row r="116" spans="19:19" ht="13.2" x14ac:dyDescent="0.25">
      <c r="S116" s="21"/>
    </row>
    <row r="117" spans="19:19" ht="13.2" x14ac:dyDescent="0.25">
      <c r="S117" s="21"/>
    </row>
    <row r="118" spans="19:19" ht="13.2" x14ac:dyDescent="0.25">
      <c r="S118" s="21"/>
    </row>
    <row r="119" spans="19:19" ht="13.2" x14ac:dyDescent="0.25">
      <c r="S119" s="21"/>
    </row>
    <row r="120" spans="19:19" ht="13.2" x14ac:dyDescent="0.25">
      <c r="S120" s="21"/>
    </row>
    <row r="121" spans="19:19" ht="13.2" x14ac:dyDescent="0.25">
      <c r="S121" s="21"/>
    </row>
    <row r="122" spans="19:19" ht="13.2" x14ac:dyDescent="0.25">
      <c r="S122" s="21"/>
    </row>
    <row r="123" spans="19:19" ht="13.2" x14ac:dyDescent="0.25">
      <c r="S123" s="21"/>
    </row>
    <row r="124" spans="19:19" ht="13.2" x14ac:dyDescent="0.25">
      <c r="S124" s="21"/>
    </row>
    <row r="125" spans="19:19" ht="13.2" x14ac:dyDescent="0.25">
      <c r="S125" s="21"/>
    </row>
    <row r="126" spans="19:19" ht="13.2" x14ac:dyDescent="0.25">
      <c r="S126" s="21"/>
    </row>
    <row r="127" spans="19:19" ht="13.2" x14ac:dyDescent="0.25">
      <c r="S127" s="21"/>
    </row>
    <row r="128" spans="19:19" ht="13.2" x14ac:dyDescent="0.25">
      <c r="S128" s="21"/>
    </row>
    <row r="129" spans="19:19" ht="13.2" x14ac:dyDescent="0.25">
      <c r="S129" s="21"/>
    </row>
    <row r="130" spans="19:19" ht="13.2" x14ac:dyDescent="0.25">
      <c r="S130" s="21"/>
    </row>
    <row r="131" spans="19:19" ht="13.2" x14ac:dyDescent="0.25">
      <c r="S131" s="21"/>
    </row>
    <row r="132" spans="19:19" ht="13.2" x14ac:dyDescent="0.25">
      <c r="S132" s="21"/>
    </row>
    <row r="133" spans="19:19" ht="13.2" x14ac:dyDescent="0.25">
      <c r="S133" s="21"/>
    </row>
    <row r="134" spans="19:19" ht="13.2" x14ac:dyDescent="0.25">
      <c r="S134" s="21"/>
    </row>
    <row r="135" spans="19:19" ht="13.2" x14ac:dyDescent="0.25">
      <c r="S135" s="21"/>
    </row>
    <row r="136" spans="19:19" ht="13.2" x14ac:dyDescent="0.25">
      <c r="S136" s="21"/>
    </row>
    <row r="137" spans="19:19" ht="13.2" x14ac:dyDescent="0.25">
      <c r="S137" s="21"/>
    </row>
    <row r="138" spans="19:19" ht="13.2" x14ac:dyDescent="0.25">
      <c r="S138" s="21"/>
    </row>
    <row r="139" spans="19:19" ht="13.2" x14ac:dyDescent="0.25">
      <c r="S139" s="21"/>
    </row>
    <row r="140" spans="19:19" ht="13.2" x14ac:dyDescent="0.25">
      <c r="S140" s="21"/>
    </row>
    <row r="141" spans="19:19" ht="13.2" x14ac:dyDescent="0.25">
      <c r="S141" s="21"/>
    </row>
    <row r="142" spans="19:19" ht="13.2" x14ac:dyDescent="0.25">
      <c r="S142" s="21"/>
    </row>
    <row r="143" spans="19:19" ht="13.2" x14ac:dyDescent="0.25">
      <c r="S143" s="21"/>
    </row>
    <row r="144" spans="19:19" ht="13.2" x14ac:dyDescent="0.25">
      <c r="S144" s="21"/>
    </row>
    <row r="145" spans="19:19" ht="13.2" x14ac:dyDescent="0.25">
      <c r="S145" s="21"/>
    </row>
    <row r="146" spans="19:19" ht="13.2" x14ac:dyDescent="0.25">
      <c r="S146" s="21"/>
    </row>
    <row r="147" spans="19:19" ht="13.2" x14ac:dyDescent="0.25">
      <c r="S147" s="21"/>
    </row>
    <row r="148" spans="19:19" ht="13.2" x14ac:dyDescent="0.25">
      <c r="S148" s="21"/>
    </row>
    <row r="149" spans="19:19" ht="13.2" x14ac:dyDescent="0.25">
      <c r="S149" s="21"/>
    </row>
    <row r="150" spans="19:19" ht="13.2" x14ac:dyDescent="0.25">
      <c r="S150" s="21"/>
    </row>
    <row r="151" spans="19:19" ht="13.2" x14ac:dyDescent="0.25">
      <c r="S151" s="21"/>
    </row>
    <row r="152" spans="19:19" ht="13.2" x14ac:dyDescent="0.25">
      <c r="S152" s="21"/>
    </row>
    <row r="153" spans="19:19" ht="13.2" x14ac:dyDescent="0.25">
      <c r="S153" s="21"/>
    </row>
    <row r="154" spans="19:19" ht="13.2" x14ac:dyDescent="0.25">
      <c r="S154" s="21"/>
    </row>
    <row r="155" spans="19:19" ht="13.2" x14ac:dyDescent="0.25">
      <c r="S155" s="21"/>
    </row>
    <row r="156" spans="19:19" ht="13.2" x14ac:dyDescent="0.25">
      <c r="S156" s="21"/>
    </row>
    <row r="157" spans="19:19" ht="13.2" x14ac:dyDescent="0.25">
      <c r="S157" s="21"/>
    </row>
    <row r="158" spans="19:19" ht="13.2" x14ac:dyDescent="0.25">
      <c r="S158" s="21"/>
    </row>
    <row r="159" spans="19:19" ht="13.2" x14ac:dyDescent="0.25">
      <c r="S159" s="21"/>
    </row>
    <row r="160" spans="19:19" ht="13.2" x14ac:dyDescent="0.25">
      <c r="S160" s="21"/>
    </row>
    <row r="161" spans="19:19" ht="13.2" x14ac:dyDescent="0.25">
      <c r="S161" s="21"/>
    </row>
    <row r="162" spans="19:19" ht="13.2" x14ac:dyDescent="0.25">
      <c r="S162" s="21"/>
    </row>
    <row r="163" spans="19:19" ht="13.2" x14ac:dyDescent="0.25">
      <c r="S163" s="21"/>
    </row>
    <row r="164" spans="19:19" ht="13.2" x14ac:dyDescent="0.25">
      <c r="S164" s="21"/>
    </row>
    <row r="165" spans="19:19" ht="13.2" x14ac:dyDescent="0.25">
      <c r="S165" s="21"/>
    </row>
    <row r="166" spans="19:19" ht="13.2" x14ac:dyDescent="0.25">
      <c r="S166" s="21"/>
    </row>
    <row r="167" spans="19:19" ht="13.2" x14ac:dyDescent="0.25">
      <c r="S167" s="21"/>
    </row>
    <row r="168" spans="19:19" ht="13.2" x14ac:dyDescent="0.25">
      <c r="S168" s="21"/>
    </row>
    <row r="169" spans="19:19" ht="13.2" x14ac:dyDescent="0.25">
      <c r="S169" s="21"/>
    </row>
    <row r="170" spans="19:19" ht="13.2" x14ac:dyDescent="0.25">
      <c r="S170" s="21"/>
    </row>
    <row r="171" spans="19:19" ht="13.2" x14ac:dyDescent="0.25">
      <c r="S171" s="21"/>
    </row>
    <row r="172" spans="19:19" ht="13.2" x14ac:dyDescent="0.25">
      <c r="S172" s="21"/>
    </row>
    <row r="173" spans="19:19" ht="13.2" x14ac:dyDescent="0.25">
      <c r="S173" s="21"/>
    </row>
    <row r="174" spans="19:19" ht="13.2" x14ac:dyDescent="0.25">
      <c r="S174" s="21"/>
    </row>
    <row r="175" spans="19:19" ht="13.2" x14ac:dyDescent="0.25">
      <c r="S175" s="21"/>
    </row>
    <row r="176" spans="19:19" ht="13.2" x14ac:dyDescent="0.25">
      <c r="S176" s="21"/>
    </row>
    <row r="177" spans="19:19" ht="13.2" x14ac:dyDescent="0.25">
      <c r="S177" s="21"/>
    </row>
    <row r="178" spans="19:19" ht="13.2" x14ac:dyDescent="0.25">
      <c r="S178" s="21"/>
    </row>
    <row r="179" spans="19:19" ht="13.2" x14ac:dyDescent="0.25">
      <c r="S179" s="21"/>
    </row>
    <row r="180" spans="19:19" ht="13.2" x14ac:dyDescent="0.25">
      <c r="S180" s="21"/>
    </row>
    <row r="181" spans="19:19" ht="13.2" x14ac:dyDescent="0.25">
      <c r="S181" s="21"/>
    </row>
    <row r="182" spans="19:19" ht="13.2" x14ac:dyDescent="0.25">
      <c r="S182" s="21"/>
    </row>
    <row r="183" spans="19:19" ht="13.2" x14ac:dyDescent="0.25">
      <c r="S183" s="21"/>
    </row>
    <row r="184" spans="19:19" ht="13.2" x14ac:dyDescent="0.25">
      <c r="S184" s="21"/>
    </row>
    <row r="185" spans="19:19" ht="13.2" x14ac:dyDescent="0.25">
      <c r="S185" s="21"/>
    </row>
    <row r="186" spans="19:19" ht="13.2" x14ac:dyDescent="0.25">
      <c r="S186" s="21"/>
    </row>
    <row r="187" spans="19:19" ht="13.2" x14ac:dyDescent="0.25">
      <c r="S187" s="21"/>
    </row>
    <row r="188" spans="19:19" ht="13.2" x14ac:dyDescent="0.25">
      <c r="S188" s="21"/>
    </row>
    <row r="189" spans="19:19" ht="13.2" x14ac:dyDescent="0.25">
      <c r="S189" s="21"/>
    </row>
    <row r="190" spans="19:19" ht="13.2" x14ac:dyDescent="0.25">
      <c r="S190" s="21"/>
    </row>
    <row r="191" spans="19:19" ht="13.2" x14ac:dyDescent="0.25">
      <c r="S191" s="21"/>
    </row>
    <row r="192" spans="19:19" ht="13.2" x14ac:dyDescent="0.25">
      <c r="S192" s="21"/>
    </row>
    <row r="193" spans="19:19" ht="13.2" x14ac:dyDescent="0.25">
      <c r="S193" s="21"/>
    </row>
    <row r="194" spans="19:19" ht="13.2" x14ac:dyDescent="0.25">
      <c r="S194" s="21"/>
    </row>
    <row r="195" spans="19:19" ht="13.2" x14ac:dyDescent="0.25">
      <c r="S195" s="21"/>
    </row>
    <row r="196" spans="19:19" ht="13.2" x14ac:dyDescent="0.25">
      <c r="S196" s="21"/>
    </row>
    <row r="197" spans="19:19" ht="13.2" x14ac:dyDescent="0.25">
      <c r="S197" s="21"/>
    </row>
    <row r="198" spans="19:19" ht="13.2" x14ac:dyDescent="0.25">
      <c r="S198" s="21"/>
    </row>
    <row r="199" spans="19:19" ht="13.2" x14ac:dyDescent="0.25">
      <c r="S199" s="21"/>
    </row>
    <row r="200" spans="19:19" ht="13.2" x14ac:dyDescent="0.25">
      <c r="S200" s="21"/>
    </row>
    <row r="201" spans="19:19" ht="13.2" x14ac:dyDescent="0.25">
      <c r="S201" s="21"/>
    </row>
    <row r="202" spans="19:19" ht="13.2" x14ac:dyDescent="0.25">
      <c r="S202" s="21"/>
    </row>
    <row r="203" spans="19:19" ht="13.2" x14ac:dyDescent="0.25">
      <c r="S203" s="21"/>
    </row>
    <row r="204" spans="19:19" ht="13.2" x14ac:dyDescent="0.25">
      <c r="S204" s="21"/>
    </row>
    <row r="205" spans="19:19" ht="13.2" x14ac:dyDescent="0.25">
      <c r="S205" s="21"/>
    </row>
    <row r="206" spans="19:19" ht="13.2" x14ac:dyDescent="0.25">
      <c r="S206" s="21"/>
    </row>
    <row r="207" spans="19:19" ht="13.2" x14ac:dyDescent="0.25">
      <c r="S207" s="21"/>
    </row>
    <row r="208" spans="19:19" ht="13.2" x14ac:dyDescent="0.25">
      <c r="S208" s="21"/>
    </row>
    <row r="209" spans="19:19" ht="13.2" x14ac:dyDescent="0.25">
      <c r="S209" s="21"/>
    </row>
    <row r="210" spans="19:19" ht="13.2" x14ac:dyDescent="0.25">
      <c r="S210" s="21"/>
    </row>
    <row r="211" spans="19:19" ht="13.2" x14ac:dyDescent="0.25">
      <c r="S211" s="21"/>
    </row>
    <row r="212" spans="19:19" ht="13.2" x14ac:dyDescent="0.25">
      <c r="S212" s="21"/>
    </row>
    <row r="213" spans="19:19" ht="13.2" x14ac:dyDescent="0.25">
      <c r="S213" s="21"/>
    </row>
    <row r="214" spans="19:19" ht="13.2" x14ac:dyDescent="0.25">
      <c r="S214" s="21"/>
    </row>
    <row r="215" spans="19:19" ht="13.2" x14ac:dyDescent="0.25">
      <c r="S215" s="21"/>
    </row>
    <row r="216" spans="19:19" ht="13.2" x14ac:dyDescent="0.25">
      <c r="S216" s="21"/>
    </row>
    <row r="217" spans="19:19" ht="13.2" x14ac:dyDescent="0.25">
      <c r="S217" s="21"/>
    </row>
    <row r="218" spans="19:19" ht="13.2" x14ac:dyDescent="0.25">
      <c r="S218" s="21"/>
    </row>
    <row r="219" spans="19:19" ht="13.2" x14ac:dyDescent="0.25">
      <c r="S219" s="21"/>
    </row>
    <row r="220" spans="19:19" ht="13.2" x14ac:dyDescent="0.25">
      <c r="S220" s="21"/>
    </row>
    <row r="221" spans="19:19" ht="13.2" x14ac:dyDescent="0.25">
      <c r="S221" s="21"/>
    </row>
    <row r="222" spans="19:19" ht="13.2" x14ac:dyDescent="0.25">
      <c r="S222" s="21"/>
    </row>
    <row r="223" spans="19:19" ht="13.2" x14ac:dyDescent="0.25">
      <c r="S223" s="21"/>
    </row>
    <row r="224" spans="19:19" ht="13.2" x14ac:dyDescent="0.25">
      <c r="S224" s="21"/>
    </row>
    <row r="225" spans="19:19" ht="13.2" x14ac:dyDescent="0.25">
      <c r="S225" s="21"/>
    </row>
    <row r="226" spans="19:19" ht="13.2" x14ac:dyDescent="0.25">
      <c r="S226" s="21"/>
    </row>
    <row r="227" spans="19:19" ht="13.2" x14ac:dyDescent="0.25">
      <c r="S227" s="21"/>
    </row>
    <row r="228" spans="19:19" ht="13.2" x14ac:dyDescent="0.25">
      <c r="S228" s="21"/>
    </row>
    <row r="229" spans="19:19" ht="13.2" x14ac:dyDescent="0.25">
      <c r="S229" s="21"/>
    </row>
    <row r="230" spans="19:19" ht="13.2" x14ac:dyDescent="0.25">
      <c r="S230" s="21"/>
    </row>
    <row r="231" spans="19:19" ht="13.2" x14ac:dyDescent="0.25">
      <c r="S231" s="21"/>
    </row>
    <row r="232" spans="19:19" ht="13.2" x14ac:dyDescent="0.25">
      <c r="S232" s="21"/>
    </row>
    <row r="233" spans="19:19" ht="13.2" x14ac:dyDescent="0.25">
      <c r="S233" s="21"/>
    </row>
    <row r="234" spans="19:19" ht="13.2" x14ac:dyDescent="0.25">
      <c r="S234" s="21"/>
    </row>
    <row r="235" spans="19:19" ht="13.2" x14ac:dyDescent="0.25">
      <c r="S235" s="21"/>
    </row>
    <row r="236" spans="19:19" ht="13.2" x14ac:dyDescent="0.25">
      <c r="S236" s="21"/>
    </row>
    <row r="237" spans="19:19" ht="13.2" x14ac:dyDescent="0.25">
      <c r="S237" s="21"/>
    </row>
    <row r="238" spans="19:19" ht="13.2" x14ac:dyDescent="0.25">
      <c r="S238" s="21"/>
    </row>
    <row r="239" spans="19:19" ht="13.2" x14ac:dyDescent="0.25">
      <c r="S239" s="21"/>
    </row>
    <row r="240" spans="19:19" ht="13.2" x14ac:dyDescent="0.25">
      <c r="S240" s="21"/>
    </row>
    <row r="241" spans="19:19" ht="13.2" x14ac:dyDescent="0.25">
      <c r="S241" s="21"/>
    </row>
    <row r="242" spans="19:19" ht="13.2" x14ac:dyDescent="0.25">
      <c r="S242" s="21"/>
    </row>
    <row r="243" spans="19:19" ht="13.2" x14ac:dyDescent="0.25">
      <c r="S243" s="21"/>
    </row>
    <row r="244" spans="19:19" ht="13.2" x14ac:dyDescent="0.25">
      <c r="S244" s="21"/>
    </row>
    <row r="245" spans="19:19" ht="13.2" x14ac:dyDescent="0.25">
      <c r="S245" s="21"/>
    </row>
    <row r="246" spans="19:19" ht="13.2" x14ac:dyDescent="0.25">
      <c r="S246" s="21"/>
    </row>
    <row r="247" spans="19:19" ht="13.2" x14ac:dyDescent="0.25">
      <c r="S247" s="21"/>
    </row>
    <row r="248" spans="19:19" ht="13.2" x14ac:dyDescent="0.25">
      <c r="S248" s="21"/>
    </row>
    <row r="249" spans="19:19" ht="13.2" x14ac:dyDescent="0.25">
      <c r="S249" s="21"/>
    </row>
    <row r="250" spans="19:19" ht="13.2" x14ac:dyDescent="0.25">
      <c r="S250" s="21"/>
    </row>
    <row r="251" spans="19:19" ht="13.2" x14ac:dyDescent="0.25">
      <c r="S251" s="21"/>
    </row>
    <row r="252" spans="19:19" ht="13.2" x14ac:dyDescent="0.25">
      <c r="S252" s="21"/>
    </row>
    <row r="253" spans="19:19" ht="13.2" x14ac:dyDescent="0.25">
      <c r="S253" s="21"/>
    </row>
    <row r="254" spans="19:19" ht="13.2" x14ac:dyDescent="0.25">
      <c r="S254" s="21"/>
    </row>
    <row r="255" spans="19:19" ht="13.2" x14ac:dyDescent="0.25">
      <c r="S255" s="21"/>
    </row>
    <row r="256" spans="19:19" ht="13.2" x14ac:dyDescent="0.25">
      <c r="S256" s="21"/>
    </row>
    <row r="257" spans="19:19" ht="13.2" x14ac:dyDescent="0.25">
      <c r="S257" s="21"/>
    </row>
    <row r="258" spans="19:19" ht="13.2" x14ac:dyDescent="0.25">
      <c r="S258" s="21"/>
    </row>
    <row r="259" spans="19:19" ht="13.2" x14ac:dyDescent="0.25">
      <c r="S259" s="21"/>
    </row>
    <row r="260" spans="19:19" ht="13.2" x14ac:dyDescent="0.25">
      <c r="S260" s="21"/>
    </row>
    <row r="261" spans="19:19" ht="13.2" x14ac:dyDescent="0.25">
      <c r="S261" s="21"/>
    </row>
    <row r="262" spans="19:19" ht="13.2" x14ac:dyDescent="0.25">
      <c r="S262" s="21"/>
    </row>
    <row r="263" spans="19:19" ht="13.2" x14ac:dyDescent="0.25">
      <c r="S263" s="21"/>
    </row>
    <row r="264" spans="19:19" ht="13.2" x14ac:dyDescent="0.25">
      <c r="S264" s="21"/>
    </row>
    <row r="265" spans="19:19" ht="13.2" x14ac:dyDescent="0.25">
      <c r="S265" s="21"/>
    </row>
    <row r="266" spans="19:19" ht="13.2" x14ac:dyDescent="0.25">
      <c r="S266" s="21"/>
    </row>
    <row r="267" spans="19:19" ht="13.2" x14ac:dyDescent="0.25">
      <c r="S267" s="21"/>
    </row>
    <row r="268" spans="19:19" ht="13.2" x14ac:dyDescent="0.25">
      <c r="S268" s="21"/>
    </row>
    <row r="269" spans="19:19" ht="13.2" x14ac:dyDescent="0.25">
      <c r="S269" s="21"/>
    </row>
    <row r="270" spans="19:19" ht="13.2" x14ac:dyDescent="0.25">
      <c r="S270" s="21"/>
    </row>
    <row r="271" spans="19:19" ht="13.2" x14ac:dyDescent="0.25">
      <c r="S271" s="21"/>
    </row>
    <row r="272" spans="19:19" ht="13.2" x14ac:dyDescent="0.25">
      <c r="S272" s="21"/>
    </row>
    <row r="273" spans="19:19" ht="13.2" x14ac:dyDescent="0.25">
      <c r="S273" s="21"/>
    </row>
    <row r="274" spans="19:19" ht="13.2" x14ac:dyDescent="0.25">
      <c r="S274" s="21"/>
    </row>
    <row r="275" spans="19:19" ht="13.2" x14ac:dyDescent="0.25">
      <c r="S275" s="21"/>
    </row>
    <row r="276" spans="19:19" ht="13.2" x14ac:dyDescent="0.25">
      <c r="S276" s="21"/>
    </row>
    <row r="277" spans="19:19" ht="13.2" x14ac:dyDescent="0.25">
      <c r="S277" s="21"/>
    </row>
    <row r="278" spans="19:19" ht="13.2" x14ac:dyDescent="0.25">
      <c r="S278" s="21"/>
    </row>
    <row r="279" spans="19:19" ht="13.2" x14ac:dyDescent="0.25">
      <c r="S279" s="21"/>
    </row>
    <row r="280" spans="19:19" ht="13.2" x14ac:dyDescent="0.25">
      <c r="S280" s="21"/>
    </row>
    <row r="281" spans="19:19" ht="13.2" x14ac:dyDescent="0.25">
      <c r="S281" s="21"/>
    </row>
    <row r="282" spans="19:19" ht="13.2" x14ac:dyDescent="0.25">
      <c r="S282" s="21"/>
    </row>
    <row r="283" spans="19:19" ht="13.2" x14ac:dyDescent="0.25">
      <c r="S283" s="21"/>
    </row>
    <row r="284" spans="19:19" ht="13.2" x14ac:dyDescent="0.25">
      <c r="S284" s="21"/>
    </row>
    <row r="285" spans="19:19" ht="13.2" x14ac:dyDescent="0.25">
      <c r="S285" s="21"/>
    </row>
    <row r="286" spans="19:19" ht="13.2" x14ac:dyDescent="0.25">
      <c r="S286" s="21"/>
    </row>
    <row r="287" spans="19:19" ht="13.2" x14ac:dyDescent="0.25">
      <c r="S287" s="21"/>
    </row>
    <row r="288" spans="19:19" ht="13.2" x14ac:dyDescent="0.25">
      <c r="S288" s="21"/>
    </row>
    <row r="289" spans="19:19" ht="13.2" x14ac:dyDescent="0.25">
      <c r="S289" s="21"/>
    </row>
    <row r="290" spans="19:19" ht="13.2" x14ac:dyDescent="0.25">
      <c r="S290" s="21"/>
    </row>
    <row r="291" spans="19:19" ht="13.2" x14ac:dyDescent="0.25">
      <c r="S291" s="21"/>
    </row>
    <row r="292" spans="19:19" ht="13.2" x14ac:dyDescent="0.25">
      <c r="S292" s="21"/>
    </row>
    <row r="293" spans="19:19" ht="13.2" x14ac:dyDescent="0.25">
      <c r="S293" s="21"/>
    </row>
    <row r="294" spans="19:19" ht="13.2" x14ac:dyDescent="0.25">
      <c r="S294" s="21"/>
    </row>
    <row r="295" spans="19:19" ht="13.2" x14ac:dyDescent="0.25">
      <c r="S295" s="21"/>
    </row>
    <row r="296" spans="19:19" ht="13.2" x14ac:dyDescent="0.25">
      <c r="S296" s="21"/>
    </row>
    <row r="297" spans="19:19" ht="13.2" x14ac:dyDescent="0.25">
      <c r="S297" s="21"/>
    </row>
    <row r="298" spans="19:19" ht="13.2" x14ac:dyDescent="0.25">
      <c r="S298" s="21"/>
    </row>
    <row r="299" spans="19:19" ht="13.2" x14ac:dyDescent="0.25">
      <c r="S299" s="21"/>
    </row>
    <row r="300" spans="19:19" ht="13.2" x14ac:dyDescent="0.25">
      <c r="S300" s="21"/>
    </row>
    <row r="301" spans="19:19" ht="13.2" x14ac:dyDescent="0.25">
      <c r="S301" s="21"/>
    </row>
    <row r="302" spans="19:19" ht="13.2" x14ac:dyDescent="0.25">
      <c r="S302" s="21"/>
    </row>
    <row r="303" spans="19:19" ht="13.2" x14ac:dyDescent="0.25">
      <c r="S303" s="21"/>
    </row>
    <row r="304" spans="19:19" ht="13.2" x14ac:dyDescent="0.25">
      <c r="S304" s="21"/>
    </row>
    <row r="305" spans="19:19" ht="13.2" x14ac:dyDescent="0.25">
      <c r="S305" s="21"/>
    </row>
    <row r="306" spans="19:19" ht="13.2" x14ac:dyDescent="0.25">
      <c r="S306" s="21"/>
    </row>
    <row r="307" spans="19:19" ht="13.2" x14ac:dyDescent="0.25">
      <c r="S307" s="21"/>
    </row>
    <row r="308" spans="19:19" ht="13.2" x14ac:dyDescent="0.25">
      <c r="S308" s="21"/>
    </row>
    <row r="309" spans="19:19" ht="13.2" x14ac:dyDescent="0.25">
      <c r="S309" s="21"/>
    </row>
    <row r="310" spans="19:19" ht="13.2" x14ac:dyDescent="0.25">
      <c r="S310" s="21"/>
    </row>
    <row r="311" spans="19:19" ht="13.2" x14ac:dyDescent="0.25">
      <c r="S311" s="21"/>
    </row>
    <row r="312" spans="19:19" ht="13.2" x14ac:dyDescent="0.25">
      <c r="S312" s="21"/>
    </row>
    <row r="313" spans="19:19" ht="13.2" x14ac:dyDescent="0.25">
      <c r="S313" s="21"/>
    </row>
    <row r="314" spans="19:19" ht="13.2" x14ac:dyDescent="0.25">
      <c r="S314" s="21"/>
    </row>
    <row r="315" spans="19:19" ht="13.2" x14ac:dyDescent="0.25">
      <c r="S315" s="21"/>
    </row>
    <row r="316" spans="19:19" ht="13.2" x14ac:dyDescent="0.25">
      <c r="S316" s="21"/>
    </row>
    <row r="317" spans="19:19" ht="13.2" x14ac:dyDescent="0.25">
      <c r="S317" s="21"/>
    </row>
    <row r="318" spans="19:19" ht="13.2" x14ac:dyDescent="0.25">
      <c r="S318" s="21"/>
    </row>
    <row r="319" spans="19:19" ht="13.2" x14ac:dyDescent="0.25">
      <c r="S319" s="21"/>
    </row>
    <row r="320" spans="19:19" ht="13.2" x14ac:dyDescent="0.25">
      <c r="S320" s="21"/>
    </row>
    <row r="321" spans="19:19" ht="13.2" x14ac:dyDescent="0.25">
      <c r="S321" s="21"/>
    </row>
    <row r="322" spans="19:19" ht="13.2" x14ac:dyDescent="0.25">
      <c r="S322" s="21"/>
    </row>
    <row r="323" spans="19:19" ht="13.2" x14ac:dyDescent="0.25">
      <c r="S323" s="21"/>
    </row>
    <row r="324" spans="19:19" ht="13.2" x14ac:dyDescent="0.25">
      <c r="S324" s="21"/>
    </row>
    <row r="325" spans="19:19" ht="13.2" x14ac:dyDescent="0.25">
      <c r="S325" s="21"/>
    </row>
    <row r="326" spans="19:19" ht="13.2" x14ac:dyDescent="0.25">
      <c r="S326" s="21"/>
    </row>
    <row r="327" spans="19:19" ht="13.2" x14ac:dyDescent="0.25">
      <c r="S327" s="21"/>
    </row>
    <row r="328" spans="19:19" ht="13.2" x14ac:dyDescent="0.25">
      <c r="S328" s="21"/>
    </row>
    <row r="329" spans="19:19" ht="13.2" x14ac:dyDescent="0.25">
      <c r="S329" s="21"/>
    </row>
    <row r="330" spans="19:19" ht="13.2" x14ac:dyDescent="0.25">
      <c r="S330" s="21"/>
    </row>
    <row r="331" spans="19:19" ht="13.2" x14ac:dyDescent="0.25">
      <c r="S331" s="21"/>
    </row>
    <row r="332" spans="19:19" ht="13.2" x14ac:dyDescent="0.25">
      <c r="S332" s="21"/>
    </row>
    <row r="333" spans="19:19" ht="13.2" x14ac:dyDescent="0.25">
      <c r="S333" s="21"/>
    </row>
    <row r="334" spans="19:19" ht="13.2" x14ac:dyDescent="0.25">
      <c r="S334" s="21"/>
    </row>
    <row r="335" spans="19:19" ht="13.2" x14ac:dyDescent="0.25">
      <c r="S335" s="21"/>
    </row>
    <row r="336" spans="19:19" ht="13.2" x14ac:dyDescent="0.25">
      <c r="S336" s="21"/>
    </row>
    <row r="337" spans="19:19" ht="13.2" x14ac:dyDescent="0.25">
      <c r="S337" s="21"/>
    </row>
    <row r="338" spans="19:19" ht="13.2" x14ac:dyDescent="0.25">
      <c r="S338" s="21"/>
    </row>
    <row r="339" spans="19:19" ht="13.2" x14ac:dyDescent="0.25">
      <c r="S339" s="21"/>
    </row>
    <row r="340" spans="19:19" ht="13.2" x14ac:dyDescent="0.25">
      <c r="S340" s="21"/>
    </row>
    <row r="341" spans="19:19" ht="13.2" x14ac:dyDescent="0.25">
      <c r="S341" s="21"/>
    </row>
    <row r="342" spans="19:19" ht="13.2" x14ac:dyDescent="0.25">
      <c r="S342" s="21"/>
    </row>
    <row r="343" spans="19:19" ht="13.2" x14ac:dyDescent="0.25">
      <c r="S343" s="21"/>
    </row>
    <row r="344" spans="19:19" ht="13.2" x14ac:dyDescent="0.25">
      <c r="S344" s="21"/>
    </row>
    <row r="345" spans="19:19" ht="13.2" x14ac:dyDescent="0.25">
      <c r="S345" s="21"/>
    </row>
    <row r="346" spans="19:19" ht="13.2" x14ac:dyDescent="0.25">
      <c r="S346" s="21"/>
    </row>
    <row r="347" spans="19:19" ht="13.2" x14ac:dyDescent="0.25">
      <c r="S347" s="21"/>
    </row>
    <row r="348" spans="19:19" ht="13.2" x14ac:dyDescent="0.25">
      <c r="S348" s="21"/>
    </row>
    <row r="349" spans="19:19" ht="13.2" x14ac:dyDescent="0.25">
      <c r="S349" s="21"/>
    </row>
    <row r="350" spans="19:19" ht="13.2" x14ac:dyDescent="0.25">
      <c r="S350" s="21"/>
    </row>
    <row r="351" spans="19:19" ht="13.2" x14ac:dyDescent="0.25">
      <c r="S351" s="21"/>
    </row>
    <row r="352" spans="19:19" ht="13.2" x14ac:dyDescent="0.25">
      <c r="S352" s="21"/>
    </row>
    <row r="353" spans="19:19" ht="13.2" x14ac:dyDescent="0.25">
      <c r="S353" s="21"/>
    </row>
    <row r="354" spans="19:19" ht="13.2" x14ac:dyDescent="0.25">
      <c r="S354" s="21"/>
    </row>
    <row r="355" spans="19:19" ht="13.2" x14ac:dyDescent="0.25">
      <c r="S355" s="21"/>
    </row>
    <row r="356" spans="19:19" ht="13.2" x14ac:dyDescent="0.25">
      <c r="S356" s="21"/>
    </row>
    <row r="357" spans="19:19" ht="13.2" x14ac:dyDescent="0.25">
      <c r="S357" s="21"/>
    </row>
    <row r="358" spans="19:19" ht="13.2" x14ac:dyDescent="0.25">
      <c r="S358" s="21"/>
    </row>
    <row r="359" spans="19:19" ht="13.2" x14ac:dyDescent="0.25">
      <c r="S359" s="21"/>
    </row>
    <row r="360" spans="19:19" ht="13.2" x14ac:dyDescent="0.25">
      <c r="S360" s="21"/>
    </row>
    <row r="361" spans="19:19" ht="13.2" x14ac:dyDescent="0.25">
      <c r="S361" s="21"/>
    </row>
    <row r="362" spans="19:19" ht="13.2" x14ac:dyDescent="0.25">
      <c r="S362" s="21"/>
    </row>
    <row r="363" spans="19:19" ht="13.2" x14ac:dyDescent="0.25">
      <c r="S363" s="21"/>
    </row>
    <row r="364" spans="19:19" ht="13.2" x14ac:dyDescent="0.25">
      <c r="S364" s="21"/>
    </row>
    <row r="365" spans="19:19" ht="13.2" x14ac:dyDescent="0.25">
      <c r="S365" s="21"/>
    </row>
    <row r="366" spans="19:19" ht="13.2" x14ac:dyDescent="0.25">
      <c r="S366" s="21"/>
    </row>
    <row r="367" spans="19:19" ht="13.2" x14ac:dyDescent="0.25">
      <c r="S367" s="21"/>
    </row>
    <row r="368" spans="19:19" ht="13.2" x14ac:dyDescent="0.25">
      <c r="S368" s="21"/>
    </row>
    <row r="369" spans="19:19" ht="13.2" x14ac:dyDescent="0.25">
      <c r="S369" s="21"/>
    </row>
    <row r="370" spans="19:19" ht="13.2" x14ac:dyDescent="0.25">
      <c r="S370" s="21"/>
    </row>
    <row r="371" spans="19:19" ht="13.2" x14ac:dyDescent="0.25">
      <c r="S371" s="21"/>
    </row>
    <row r="372" spans="19:19" ht="13.2" x14ac:dyDescent="0.25">
      <c r="S372" s="21"/>
    </row>
    <row r="373" spans="19:19" ht="13.2" x14ac:dyDescent="0.25">
      <c r="S373" s="21"/>
    </row>
    <row r="374" spans="19:19" ht="13.2" x14ac:dyDescent="0.25">
      <c r="S374" s="21"/>
    </row>
    <row r="375" spans="19:19" ht="13.2" x14ac:dyDescent="0.25">
      <c r="S375" s="21"/>
    </row>
    <row r="376" spans="19:19" ht="13.2" x14ac:dyDescent="0.25">
      <c r="S376" s="21"/>
    </row>
    <row r="377" spans="19:19" ht="13.2" x14ac:dyDescent="0.25">
      <c r="S377" s="21"/>
    </row>
    <row r="378" spans="19:19" ht="13.2" x14ac:dyDescent="0.25">
      <c r="S378" s="21"/>
    </row>
    <row r="379" spans="19:19" ht="13.2" x14ac:dyDescent="0.25">
      <c r="S379" s="21"/>
    </row>
    <row r="380" spans="19:19" ht="13.2" x14ac:dyDescent="0.25">
      <c r="S380" s="21"/>
    </row>
    <row r="381" spans="19:19" ht="13.2" x14ac:dyDescent="0.25">
      <c r="S381" s="21"/>
    </row>
    <row r="382" spans="19:19" ht="13.2" x14ac:dyDescent="0.25">
      <c r="S382" s="21"/>
    </row>
    <row r="383" spans="19:19" ht="13.2" x14ac:dyDescent="0.25">
      <c r="S383" s="21"/>
    </row>
    <row r="384" spans="19:19" ht="13.2" x14ac:dyDescent="0.25">
      <c r="S384" s="21"/>
    </row>
    <row r="385" spans="19:19" ht="13.2" x14ac:dyDescent="0.25">
      <c r="S385" s="21"/>
    </row>
    <row r="386" spans="19:19" ht="13.2" x14ac:dyDescent="0.25">
      <c r="S386" s="21"/>
    </row>
    <row r="387" spans="19:19" ht="13.2" x14ac:dyDescent="0.25">
      <c r="S387" s="21"/>
    </row>
    <row r="388" spans="19:19" ht="13.2" x14ac:dyDescent="0.25">
      <c r="S388" s="21"/>
    </row>
    <row r="389" spans="19:19" ht="13.2" x14ac:dyDescent="0.25">
      <c r="S389" s="21"/>
    </row>
    <row r="390" spans="19:19" ht="13.2" x14ac:dyDescent="0.25">
      <c r="S390" s="21"/>
    </row>
    <row r="391" spans="19:19" ht="13.2" x14ac:dyDescent="0.25">
      <c r="S391" s="21"/>
    </row>
    <row r="392" spans="19:19" ht="13.2" x14ac:dyDescent="0.25">
      <c r="S392" s="21"/>
    </row>
    <row r="393" spans="19:19" ht="13.2" x14ac:dyDescent="0.25">
      <c r="S393" s="21"/>
    </row>
    <row r="394" spans="19:19" ht="13.2" x14ac:dyDescent="0.25">
      <c r="S394" s="21"/>
    </row>
    <row r="395" spans="19:19" ht="13.2" x14ac:dyDescent="0.25">
      <c r="S395" s="21"/>
    </row>
    <row r="396" spans="19:19" ht="13.2" x14ac:dyDescent="0.25">
      <c r="S396" s="21"/>
    </row>
    <row r="397" spans="19:19" ht="13.2" x14ac:dyDescent="0.25">
      <c r="S397" s="21"/>
    </row>
    <row r="398" spans="19:19" ht="13.2" x14ac:dyDescent="0.25">
      <c r="S398" s="21"/>
    </row>
    <row r="399" spans="19:19" ht="13.2" x14ac:dyDescent="0.25">
      <c r="S399" s="21"/>
    </row>
    <row r="400" spans="19:19" ht="13.2" x14ac:dyDescent="0.25">
      <c r="S400" s="21"/>
    </row>
    <row r="401" spans="19:19" ht="13.2" x14ac:dyDescent="0.25">
      <c r="S401" s="21"/>
    </row>
    <row r="402" spans="19:19" ht="13.2" x14ac:dyDescent="0.25">
      <c r="S402" s="21"/>
    </row>
    <row r="403" spans="19:19" ht="13.2" x14ac:dyDescent="0.25">
      <c r="S403" s="21"/>
    </row>
    <row r="404" spans="19:19" ht="13.2" x14ac:dyDescent="0.25">
      <c r="S404" s="21"/>
    </row>
    <row r="405" spans="19:19" ht="13.2" x14ac:dyDescent="0.25">
      <c r="S405" s="21"/>
    </row>
    <row r="406" spans="19:19" ht="13.2" x14ac:dyDescent="0.25">
      <c r="S406" s="21"/>
    </row>
    <row r="407" spans="19:19" ht="13.2" x14ac:dyDescent="0.25">
      <c r="S407" s="21"/>
    </row>
    <row r="408" spans="19:19" ht="13.2" x14ac:dyDescent="0.25">
      <c r="S408" s="21"/>
    </row>
    <row r="409" spans="19:19" ht="13.2" x14ac:dyDescent="0.25">
      <c r="S409" s="21"/>
    </row>
    <row r="410" spans="19:19" ht="13.2" x14ac:dyDescent="0.25">
      <c r="S410" s="21"/>
    </row>
    <row r="411" spans="19:19" ht="13.2" x14ac:dyDescent="0.25">
      <c r="S411" s="21"/>
    </row>
    <row r="412" spans="19:19" ht="13.2" x14ac:dyDescent="0.25">
      <c r="S412" s="21"/>
    </row>
    <row r="413" spans="19:19" ht="13.2" x14ac:dyDescent="0.25">
      <c r="S413" s="21"/>
    </row>
    <row r="414" spans="19:19" ht="13.2" x14ac:dyDescent="0.25">
      <c r="S414" s="21"/>
    </row>
    <row r="415" spans="19:19" ht="13.2" x14ac:dyDescent="0.25">
      <c r="S415" s="21"/>
    </row>
    <row r="416" spans="19:19" ht="13.2" x14ac:dyDescent="0.25">
      <c r="S416" s="21"/>
    </row>
    <row r="417" spans="19:19" ht="13.2" x14ac:dyDescent="0.25">
      <c r="S417" s="21"/>
    </row>
    <row r="418" spans="19:19" ht="13.2" x14ac:dyDescent="0.25">
      <c r="S418" s="21"/>
    </row>
    <row r="419" spans="19:19" ht="13.2" x14ac:dyDescent="0.25">
      <c r="S419" s="21"/>
    </row>
    <row r="420" spans="19:19" ht="13.2" x14ac:dyDescent="0.25">
      <c r="S420" s="21"/>
    </row>
    <row r="421" spans="19:19" ht="13.2" x14ac:dyDescent="0.25">
      <c r="S421" s="21"/>
    </row>
    <row r="422" spans="19:19" ht="13.2" x14ac:dyDescent="0.25">
      <c r="S422" s="21"/>
    </row>
    <row r="423" spans="19:19" ht="13.2" x14ac:dyDescent="0.25">
      <c r="S423" s="21"/>
    </row>
    <row r="424" spans="19:19" ht="13.2" x14ac:dyDescent="0.25">
      <c r="S424" s="21"/>
    </row>
    <row r="425" spans="19:19" ht="13.2" x14ac:dyDescent="0.25">
      <c r="S425" s="21"/>
    </row>
    <row r="426" spans="19:19" ht="13.2" x14ac:dyDescent="0.25">
      <c r="S426" s="21"/>
    </row>
    <row r="427" spans="19:19" ht="13.2" x14ac:dyDescent="0.25">
      <c r="S427" s="21"/>
    </row>
    <row r="428" spans="19:19" ht="13.2" x14ac:dyDescent="0.25">
      <c r="S428" s="21"/>
    </row>
    <row r="429" spans="19:19" ht="13.2" x14ac:dyDescent="0.25">
      <c r="S429" s="21"/>
    </row>
    <row r="430" spans="19:19" ht="13.2" x14ac:dyDescent="0.25">
      <c r="S430" s="21"/>
    </row>
    <row r="431" spans="19:19" ht="13.2" x14ac:dyDescent="0.25">
      <c r="S431" s="21"/>
    </row>
    <row r="432" spans="19:19" ht="13.2" x14ac:dyDescent="0.25">
      <c r="S432" s="21"/>
    </row>
    <row r="433" spans="19:19" ht="13.2" x14ac:dyDescent="0.25">
      <c r="S433" s="21"/>
    </row>
    <row r="434" spans="19:19" ht="13.2" x14ac:dyDescent="0.25">
      <c r="S434" s="21"/>
    </row>
    <row r="435" spans="19:19" ht="13.2" x14ac:dyDescent="0.25">
      <c r="S435" s="21"/>
    </row>
    <row r="436" spans="19:19" ht="13.2" x14ac:dyDescent="0.25">
      <c r="S436" s="21"/>
    </row>
    <row r="437" spans="19:19" ht="13.2" x14ac:dyDescent="0.25">
      <c r="S437" s="21"/>
    </row>
    <row r="438" spans="19:19" ht="13.2" x14ac:dyDescent="0.25">
      <c r="S438" s="21"/>
    </row>
    <row r="439" spans="19:19" ht="13.2" x14ac:dyDescent="0.25">
      <c r="S439" s="21"/>
    </row>
    <row r="440" spans="19:19" ht="13.2" x14ac:dyDescent="0.25">
      <c r="S440" s="21"/>
    </row>
    <row r="441" spans="19:19" ht="13.2" x14ac:dyDescent="0.25">
      <c r="S441" s="21"/>
    </row>
    <row r="442" spans="19:19" ht="13.2" x14ac:dyDescent="0.25">
      <c r="S442" s="21"/>
    </row>
    <row r="443" spans="19:19" ht="13.2" x14ac:dyDescent="0.25">
      <c r="S443" s="21"/>
    </row>
    <row r="444" spans="19:19" ht="13.2" x14ac:dyDescent="0.25">
      <c r="S444" s="21"/>
    </row>
    <row r="445" spans="19:19" ht="13.2" x14ac:dyDescent="0.25">
      <c r="S445" s="21"/>
    </row>
    <row r="446" spans="19:19" ht="13.2" x14ac:dyDescent="0.25">
      <c r="S446" s="21"/>
    </row>
    <row r="447" spans="19:19" ht="13.2" x14ac:dyDescent="0.25">
      <c r="S447" s="21"/>
    </row>
    <row r="448" spans="19:19" ht="13.2" x14ac:dyDescent="0.25">
      <c r="S448" s="21"/>
    </row>
    <row r="449" spans="19:19" ht="13.2" x14ac:dyDescent="0.25">
      <c r="S449" s="21"/>
    </row>
    <row r="450" spans="19:19" ht="13.2" x14ac:dyDescent="0.25">
      <c r="S450" s="21"/>
    </row>
    <row r="451" spans="19:19" ht="13.2" x14ac:dyDescent="0.25">
      <c r="S451" s="21"/>
    </row>
    <row r="452" spans="19:19" ht="13.2" x14ac:dyDescent="0.25">
      <c r="S452" s="21"/>
    </row>
    <row r="453" spans="19:19" ht="13.2" x14ac:dyDescent="0.25">
      <c r="S453" s="21"/>
    </row>
    <row r="454" spans="19:19" ht="13.2" x14ac:dyDescent="0.25">
      <c r="S454" s="21"/>
    </row>
    <row r="455" spans="19:19" ht="13.2" x14ac:dyDescent="0.25">
      <c r="S455" s="21"/>
    </row>
    <row r="456" spans="19:19" ht="13.2" x14ac:dyDescent="0.25">
      <c r="S456" s="21"/>
    </row>
    <row r="457" spans="19:19" ht="13.2" x14ac:dyDescent="0.25">
      <c r="S457" s="21"/>
    </row>
    <row r="458" spans="19:19" ht="13.2" x14ac:dyDescent="0.25">
      <c r="S458" s="21"/>
    </row>
    <row r="459" spans="19:19" ht="13.2" x14ac:dyDescent="0.25">
      <c r="S459" s="21"/>
    </row>
    <row r="460" spans="19:19" ht="13.2" x14ac:dyDescent="0.25">
      <c r="S460" s="21"/>
    </row>
    <row r="461" spans="19:19" ht="13.2" x14ac:dyDescent="0.25">
      <c r="S461" s="21"/>
    </row>
    <row r="462" spans="19:19" ht="13.2" x14ac:dyDescent="0.25">
      <c r="S462" s="21"/>
    </row>
    <row r="463" spans="19:19" ht="13.2" x14ac:dyDescent="0.25">
      <c r="S463" s="21"/>
    </row>
    <row r="464" spans="19:19" ht="13.2" x14ac:dyDescent="0.25">
      <c r="S464" s="21"/>
    </row>
    <row r="465" spans="19:19" ht="13.2" x14ac:dyDescent="0.25">
      <c r="S465" s="21"/>
    </row>
    <row r="466" spans="19:19" ht="13.2" x14ac:dyDescent="0.25">
      <c r="S466" s="21"/>
    </row>
    <row r="467" spans="19:19" ht="13.2" x14ac:dyDescent="0.25">
      <c r="S467" s="21"/>
    </row>
    <row r="468" spans="19:19" ht="13.2" x14ac:dyDescent="0.25">
      <c r="S468" s="21"/>
    </row>
    <row r="469" spans="19:19" ht="13.2" x14ac:dyDescent="0.25">
      <c r="S469" s="21"/>
    </row>
    <row r="470" spans="19:19" ht="13.2" x14ac:dyDescent="0.25">
      <c r="S470" s="21"/>
    </row>
    <row r="471" spans="19:19" ht="13.2" x14ac:dyDescent="0.25">
      <c r="S471" s="21"/>
    </row>
    <row r="472" spans="19:19" ht="13.2" x14ac:dyDescent="0.25">
      <c r="S472" s="21"/>
    </row>
    <row r="473" spans="19:19" ht="13.2" x14ac:dyDescent="0.25">
      <c r="S473" s="21"/>
    </row>
    <row r="474" spans="19:19" ht="13.2" x14ac:dyDescent="0.25">
      <c r="S474" s="21"/>
    </row>
    <row r="475" spans="19:19" ht="13.2" x14ac:dyDescent="0.25">
      <c r="S475" s="21"/>
    </row>
    <row r="476" spans="19:19" ht="13.2" x14ac:dyDescent="0.25">
      <c r="S476" s="21"/>
    </row>
    <row r="477" spans="19:19" ht="13.2" x14ac:dyDescent="0.25">
      <c r="S477" s="21"/>
    </row>
    <row r="478" spans="19:19" ht="13.2" x14ac:dyDescent="0.25">
      <c r="S478" s="21"/>
    </row>
    <row r="479" spans="19:19" ht="13.2" x14ac:dyDescent="0.25">
      <c r="S479" s="21"/>
    </row>
    <row r="480" spans="19:19" ht="13.2" x14ac:dyDescent="0.25">
      <c r="S480" s="21"/>
    </row>
    <row r="481" spans="19:19" ht="13.2" x14ac:dyDescent="0.25">
      <c r="S481" s="21"/>
    </row>
    <row r="482" spans="19:19" ht="13.2" x14ac:dyDescent="0.25">
      <c r="S482" s="21"/>
    </row>
    <row r="483" spans="19:19" ht="13.2" x14ac:dyDescent="0.25">
      <c r="S483" s="21"/>
    </row>
    <row r="484" spans="19:19" ht="13.2" x14ac:dyDescent="0.25">
      <c r="S484" s="21"/>
    </row>
    <row r="485" spans="19:19" ht="13.2" x14ac:dyDescent="0.25">
      <c r="S485" s="21"/>
    </row>
    <row r="486" spans="19:19" ht="13.2" x14ac:dyDescent="0.25">
      <c r="S486" s="21"/>
    </row>
    <row r="487" spans="19:19" ht="13.2" x14ac:dyDescent="0.25">
      <c r="S487" s="21"/>
    </row>
    <row r="488" spans="19:19" ht="13.2" x14ac:dyDescent="0.25">
      <c r="S488" s="21"/>
    </row>
    <row r="489" spans="19:19" ht="13.2" x14ac:dyDescent="0.25">
      <c r="S489" s="21"/>
    </row>
    <row r="490" spans="19:19" ht="13.2" x14ac:dyDescent="0.25">
      <c r="S490" s="21"/>
    </row>
    <row r="491" spans="19:19" ht="13.2" x14ac:dyDescent="0.25">
      <c r="S491" s="21"/>
    </row>
    <row r="492" spans="19:19" ht="13.2" x14ac:dyDescent="0.25">
      <c r="S492" s="21"/>
    </row>
    <row r="493" spans="19:19" ht="13.2" x14ac:dyDescent="0.25">
      <c r="S493" s="21"/>
    </row>
    <row r="494" spans="19:19" ht="13.2" x14ac:dyDescent="0.25">
      <c r="S494" s="21"/>
    </row>
    <row r="495" spans="19:19" ht="13.2" x14ac:dyDescent="0.25">
      <c r="S495" s="21"/>
    </row>
    <row r="496" spans="19:19" ht="13.2" x14ac:dyDescent="0.25">
      <c r="S496" s="21"/>
    </row>
    <row r="497" spans="19:19" ht="13.2" x14ac:dyDescent="0.25">
      <c r="S497" s="21"/>
    </row>
    <row r="498" spans="19:19" ht="13.2" x14ac:dyDescent="0.25">
      <c r="S498" s="21"/>
    </row>
    <row r="499" spans="19:19" ht="13.2" x14ac:dyDescent="0.25">
      <c r="S499" s="21"/>
    </row>
    <row r="500" spans="19:19" ht="13.2" x14ac:dyDescent="0.25">
      <c r="S500" s="21"/>
    </row>
    <row r="501" spans="19:19" ht="13.2" x14ac:dyDescent="0.25">
      <c r="S501" s="21"/>
    </row>
    <row r="502" spans="19:19" ht="13.2" x14ac:dyDescent="0.25">
      <c r="S502" s="21"/>
    </row>
    <row r="503" spans="19:19" ht="13.2" x14ac:dyDescent="0.25">
      <c r="S503" s="21"/>
    </row>
    <row r="504" spans="19:19" ht="13.2" x14ac:dyDescent="0.25">
      <c r="S504" s="21"/>
    </row>
    <row r="505" spans="19:19" ht="13.2" x14ac:dyDescent="0.25">
      <c r="S505" s="21"/>
    </row>
    <row r="506" spans="19:19" ht="13.2" x14ac:dyDescent="0.25">
      <c r="S506" s="21"/>
    </row>
    <row r="507" spans="19:19" ht="13.2" x14ac:dyDescent="0.25">
      <c r="S507" s="21"/>
    </row>
    <row r="508" spans="19:19" ht="13.2" x14ac:dyDescent="0.25">
      <c r="S508" s="21"/>
    </row>
    <row r="509" spans="19:19" ht="13.2" x14ac:dyDescent="0.25">
      <c r="S509" s="21"/>
    </row>
    <row r="510" spans="19:19" ht="13.2" x14ac:dyDescent="0.25">
      <c r="S510" s="21"/>
    </row>
    <row r="511" spans="19:19" ht="13.2" x14ac:dyDescent="0.25">
      <c r="S511" s="21"/>
    </row>
    <row r="512" spans="19:19" ht="13.2" x14ac:dyDescent="0.25">
      <c r="S512" s="21"/>
    </row>
    <row r="513" spans="19:19" ht="13.2" x14ac:dyDescent="0.25">
      <c r="S513" s="21"/>
    </row>
    <row r="514" spans="19:19" ht="13.2" x14ac:dyDescent="0.25">
      <c r="S514" s="21"/>
    </row>
    <row r="515" spans="19:19" ht="13.2" x14ac:dyDescent="0.25">
      <c r="S515" s="21"/>
    </row>
    <row r="516" spans="19:19" ht="13.2" x14ac:dyDescent="0.25">
      <c r="S516" s="21"/>
    </row>
    <row r="517" spans="19:19" ht="13.2" x14ac:dyDescent="0.25">
      <c r="S517" s="21"/>
    </row>
    <row r="518" spans="19:19" ht="13.2" x14ac:dyDescent="0.25">
      <c r="S518" s="21"/>
    </row>
    <row r="519" spans="19:19" ht="13.2" x14ac:dyDescent="0.25">
      <c r="S519" s="21"/>
    </row>
    <row r="520" spans="19:19" ht="13.2" x14ac:dyDescent="0.25">
      <c r="S520" s="21"/>
    </row>
    <row r="521" spans="19:19" ht="13.2" x14ac:dyDescent="0.25">
      <c r="S521" s="21"/>
    </row>
    <row r="522" spans="19:19" ht="13.2" x14ac:dyDescent="0.25">
      <c r="S522" s="21"/>
    </row>
    <row r="523" spans="19:19" ht="13.2" x14ac:dyDescent="0.25">
      <c r="S523" s="21"/>
    </row>
    <row r="524" spans="19:19" ht="13.2" x14ac:dyDescent="0.25">
      <c r="S524" s="21"/>
    </row>
    <row r="525" spans="19:19" ht="13.2" x14ac:dyDescent="0.25">
      <c r="S525" s="21"/>
    </row>
    <row r="526" spans="19:19" ht="13.2" x14ac:dyDescent="0.25">
      <c r="S526" s="21"/>
    </row>
    <row r="527" spans="19:19" ht="13.2" x14ac:dyDescent="0.25">
      <c r="S527" s="21"/>
    </row>
    <row r="528" spans="19:19" ht="13.2" x14ac:dyDescent="0.25">
      <c r="S528" s="21"/>
    </row>
    <row r="529" spans="19:19" ht="13.2" x14ac:dyDescent="0.25">
      <c r="S529" s="21"/>
    </row>
    <row r="530" spans="19:19" ht="13.2" x14ac:dyDescent="0.25">
      <c r="S530" s="21"/>
    </row>
    <row r="531" spans="19:19" ht="13.2" x14ac:dyDescent="0.25">
      <c r="S531" s="21"/>
    </row>
    <row r="532" spans="19:19" ht="13.2" x14ac:dyDescent="0.25">
      <c r="S532" s="21"/>
    </row>
    <row r="533" spans="19:19" ht="13.2" x14ac:dyDescent="0.25">
      <c r="S533" s="21"/>
    </row>
    <row r="534" spans="19:19" ht="13.2" x14ac:dyDescent="0.25">
      <c r="S534" s="21"/>
    </row>
    <row r="535" spans="19:19" ht="13.2" x14ac:dyDescent="0.25">
      <c r="S535" s="21"/>
    </row>
    <row r="536" spans="19:19" ht="13.2" x14ac:dyDescent="0.25">
      <c r="S536" s="21"/>
    </row>
    <row r="537" spans="19:19" ht="13.2" x14ac:dyDescent="0.25">
      <c r="S537" s="21"/>
    </row>
    <row r="538" spans="19:19" ht="13.2" x14ac:dyDescent="0.25">
      <c r="S538" s="21"/>
    </row>
    <row r="539" spans="19:19" ht="13.2" x14ac:dyDescent="0.25">
      <c r="S539" s="21"/>
    </row>
    <row r="540" spans="19:19" ht="13.2" x14ac:dyDescent="0.25">
      <c r="S540" s="21"/>
    </row>
    <row r="541" spans="19:19" ht="13.2" x14ac:dyDescent="0.25">
      <c r="S541" s="21"/>
    </row>
    <row r="542" spans="19:19" ht="13.2" x14ac:dyDescent="0.25">
      <c r="S542" s="21"/>
    </row>
    <row r="543" spans="19:19" ht="13.2" x14ac:dyDescent="0.25">
      <c r="S543" s="21"/>
    </row>
    <row r="544" spans="19:19" ht="13.2" x14ac:dyDescent="0.25">
      <c r="S544" s="21"/>
    </row>
    <row r="545" spans="19:19" ht="13.2" x14ac:dyDescent="0.25">
      <c r="S545" s="21"/>
    </row>
    <row r="546" spans="19:19" ht="13.2" x14ac:dyDescent="0.25">
      <c r="S546" s="21"/>
    </row>
    <row r="547" spans="19:19" ht="13.2" x14ac:dyDescent="0.25">
      <c r="S547" s="21"/>
    </row>
    <row r="548" spans="19:19" ht="13.2" x14ac:dyDescent="0.25">
      <c r="S548" s="21"/>
    </row>
    <row r="549" spans="19:19" ht="13.2" x14ac:dyDescent="0.25">
      <c r="S549" s="21"/>
    </row>
    <row r="550" spans="19:19" ht="13.2" x14ac:dyDescent="0.25">
      <c r="S550" s="21"/>
    </row>
    <row r="551" spans="19:19" ht="13.2" x14ac:dyDescent="0.25">
      <c r="S551" s="21"/>
    </row>
    <row r="552" spans="19:19" ht="13.2" x14ac:dyDescent="0.25">
      <c r="S552" s="21"/>
    </row>
    <row r="553" spans="19:19" ht="13.2" x14ac:dyDescent="0.25">
      <c r="S553" s="21"/>
    </row>
    <row r="554" spans="19:19" ht="13.2" x14ac:dyDescent="0.25">
      <c r="S554" s="21"/>
    </row>
    <row r="555" spans="19:19" ht="13.2" x14ac:dyDescent="0.25">
      <c r="S555" s="21"/>
    </row>
    <row r="556" spans="19:19" ht="13.2" x14ac:dyDescent="0.25">
      <c r="S556" s="21"/>
    </row>
    <row r="557" spans="19:19" ht="13.2" x14ac:dyDescent="0.25">
      <c r="S557" s="21"/>
    </row>
    <row r="558" spans="19:19" ht="13.2" x14ac:dyDescent="0.25">
      <c r="S558" s="21"/>
    </row>
    <row r="559" spans="19:19" ht="13.2" x14ac:dyDescent="0.25">
      <c r="S559" s="21"/>
    </row>
    <row r="560" spans="19:19" ht="13.2" x14ac:dyDescent="0.25">
      <c r="S560" s="21"/>
    </row>
    <row r="561" spans="19:19" ht="13.2" x14ac:dyDescent="0.25">
      <c r="S561" s="21"/>
    </row>
    <row r="562" spans="19:19" ht="13.2" x14ac:dyDescent="0.25">
      <c r="S562" s="21"/>
    </row>
    <row r="563" spans="19:19" ht="13.2" x14ac:dyDescent="0.25">
      <c r="S563" s="21"/>
    </row>
    <row r="564" spans="19:19" ht="13.2" x14ac:dyDescent="0.25">
      <c r="S564" s="21"/>
    </row>
    <row r="565" spans="19:19" ht="13.2" x14ac:dyDescent="0.25">
      <c r="S565" s="21"/>
    </row>
    <row r="566" spans="19:19" ht="13.2" x14ac:dyDescent="0.25">
      <c r="S566" s="21"/>
    </row>
    <row r="567" spans="19:19" ht="13.2" x14ac:dyDescent="0.25">
      <c r="S567" s="21"/>
    </row>
    <row r="568" spans="19:19" ht="13.2" x14ac:dyDescent="0.25">
      <c r="S568" s="21"/>
    </row>
    <row r="569" spans="19:19" ht="13.2" x14ac:dyDescent="0.25">
      <c r="S569" s="21"/>
    </row>
    <row r="570" spans="19:19" ht="13.2" x14ac:dyDescent="0.25">
      <c r="S570" s="21"/>
    </row>
    <row r="571" spans="19:19" ht="13.2" x14ac:dyDescent="0.25">
      <c r="S571" s="21"/>
    </row>
    <row r="572" spans="19:19" ht="13.2" x14ac:dyDescent="0.25">
      <c r="S572" s="21"/>
    </row>
    <row r="573" spans="19:19" ht="13.2" x14ac:dyDescent="0.25">
      <c r="S573" s="21"/>
    </row>
    <row r="574" spans="19:19" ht="13.2" x14ac:dyDescent="0.25">
      <c r="S574" s="21"/>
    </row>
    <row r="575" spans="19:19" ht="13.2" x14ac:dyDescent="0.25">
      <c r="S575" s="21"/>
    </row>
    <row r="576" spans="19:19" ht="13.2" x14ac:dyDescent="0.25">
      <c r="S576" s="21"/>
    </row>
    <row r="577" spans="19:19" ht="13.2" x14ac:dyDescent="0.25">
      <c r="S577" s="21"/>
    </row>
    <row r="578" spans="19:19" ht="13.2" x14ac:dyDescent="0.25">
      <c r="S578" s="21"/>
    </row>
    <row r="579" spans="19:19" ht="13.2" x14ac:dyDescent="0.25">
      <c r="S579" s="21"/>
    </row>
    <row r="580" spans="19:19" ht="13.2" x14ac:dyDescent="0.25">
      <c r="S580" s="21"/>
    </row>
    <row r="581" spans="19:19" ht="13.2" x14ac:dyDescent="0.25">
      <c r="S581" s="21"/>
    </row>
    <row r="582" spans="19:19" ht="13.2" x14ac:dyDescent="0.25">
      <c r="S582" s="21"/>
    </row>
    <row r="583" spans="19:19" ht="13.2" x14ac:dyDescent="0.25">
      <c r="S583" s="21"/>
    </row>
    <row r="584" spans="19:19" ht="13.2" x14ac:dyDescent="0.25">
      <c r="S584" s="21"/>
    </row>
    <row r="585" spans="19:19" ht="13.2" x14ac:dyDescent="0.25">
      <c r="S585" s="21"/>
    </row>
    <row r="586" spans="19:19" ht="13.2" x14ac:dyDescent="0.25">
      <c r="S586" s="21"/>
    </row>
    <row r="587" spans="19:19" ht="13.2" x14ac:dyDescent="0.25">
      <c r="S587" s="21"/>
    </row>
    <row r="588" spans="19:19" ht="13.2" x14ac:dyDescent="0.25">
      <c r="S588" s="21"/>
    </row>
    <row r="589" spans="19:19" ht="13.2" x14ac:dyDescent="0.25">
      <c r="S589" s="21"/>
    </row>
    <row r="590" spans="19:19" ht="13.2" x14ac:dyDescent="0.25">
      <c r="S590" s="21"/>
    </row>
    <row r="591" spans="19:19" ht="13.2" x14ac:dyDescent="0.25">
      <c r="S591" s="21"/>
    </row>
    <row r="592" spans="19:19" ht="13.2" x14ac:dyDescent="0.25">
      <c r="S592" s="21"/>
    </row>
    <row r="593" spans="19:19" ht="13.2" x14ac:dyDescent="0.25">
      <c r="S593" s="21"/>
    </row>
    <row r="594" spans="19:19" ht="13.2" x14ac:dyDescent="0.25">
      <c r="S594" s="21"/>
    </row>
    <row r="595" spans="19:19" ht="13.2" x14ac:dyDescent="0.25">
      <c r="S595" s="21"/>
    </row>
    <row r="596" spans="19:19" ht="13.2" x14ac:dyDescent="0.25">
      <c r="S596" s="21"/>
    </row>
    <row r="597" spans="19:19" ht="13.2" x14ac:dyDescent="0.25">
      <c r="S597" s="21"/>
    </row>
    <row r="598" spans="19:19" ht="13.2" x14ac:dyDescent="0.25">
      <c r="S598" s="21"/>
    </row>
    <row r="599" spans="19:19" ht="13.2" x14ac:dyDescent="0.25">
      <c r="S599" s="21"/>
    </row>
    <row r="600" spans="19:19" ht="13.2" x14ac:dyDescent="0.25">
      <c r="S600" s="21"/>
    </row>
    <row r="601" spans="19:19" ht="13.2" x14ac:dyDescent="0.25">
      <c r="S601" s="21"/>
    </row>
    <row r="602" spans="19:19" ht="13.2" x14ac:dyDescent="0.25">
      <c r="S602" s="21"/>
    </row>
    <row r="603" spans="19:19" ht="13.2" x14ac:dyDescent="0.25">
      <c r="S603" s="21"/>
    </row>
    <row r="604" spans="19:19" ht="13.2" x14ac:dyDescent="0.25">
      <c r="S604" s="21"/>
    </row>
    <row r="605" spans="19:19" ht="13.2" x14ac:dyDescent="0.25">
      <c r="S605" s="21"/>
    </row>
    <row r="606" spans="19:19" ht="13.2" x14ac:dyDescent="0.25">
      <c r="S606" s="21"/>
    </row>
    <row r="607" spans="19:19" ht="13.2" x14ac:dyDescent="0.25">
      <c r="S607" s="21"/>
    </row>
    <row r="608" spans="19:19" ht="13.2" x14ac:dyDescent="0.25">
      <c r="S608" s="21"/>
    </row>
    <row r="609" spans="19:19" ht="13.2" x14ac:dyDescent="0.25">
      <c r="S609" s="21"/>
    </row>
    <row r="610" spans="19:19" ht="13.2" x14ac:dyDescent="0.25">
      <c r="S610" s="21"/>
    </row>
    <row r="611" spans="19:19" ht="13.2" x14ac:dyDescent="0.25">
      <c r="S611" s="21"/>
    </row>
    <row r="612" spans="19:19" ht="13.2" x14ac:dyDescent="0.25">
      <c r="S612" s="21"/>
    </row>
    <row r="613" spans="19:19" ht="13.2" x14ac:dyDescent="0.25">
      <c r="S613" s="21"/>
    </row>
    <row r="614" spans="19:19" ht="13.2" x14ac:dyDescent="0.25">
      <c r="S614" s="21"/>
    </row>
    <row r="615" spans="19:19" ht="13.2" x14ac:dyDescent="0.25">
      <c r="S615" s="21"/>
    </row>
    <row r="616" spans="19:19" ht="13.2" x14ac:dyDescent="0.25">
      <c r="S616" s="21"/>
    </row>
    <row r="617" spans="19:19" ht="13.2" x14ac:dyDescent="0.25">
      <c r="S617" s="21"/>
    </row>
    <row r="618" spans="19:19" ht="13.2" x14ac:dyDescent="0.25">
      <c r="S618" s="21"/>
    </row>
    <row r="619" spans="19:19" ht="13.2" x14ac:dyDescent="0.25">
      <c r="S619" s="21"/>
    </row>
    <row r="620" spans="19:19" ht="13.2" x14ac:dyDescent="0.25">
      <c r="S620" s="21"/>
    </row>
    <row r="621" spans="19:19" ht="13.2" x14ac:dyDescent="0.25">
      <c r="S621" s="21"/>
    </row>
    <row r="622" spans="19:19" ht="13.2" x14ac:dyDescent="0.25">
      <c r="S622" s="21"/>
    </row>
    <row r="623" spans="19:19" ht="13.2" x14ac:dyDescent="0.25">
      <c r="S623" s="21"/>
    </row>
    <row r="624" spans="19:19" ht="13.2" x14ac:dyDescent="0.25">
      <c r="S624" s="21"/>
    </row>
    <row r="625" spans="19:19" ht="13.2" x14ac:dyDescent="0.25">
      <c r="S625" s="21"/>
    </row>
    <row r="626" spans="19:19" ht="13.2" x14ac:dyDescent="0.25">
      <c r="S626" s="21"/>
    </row>
    <row r="627" spans="19:19" ht="13.2" x14ac:dyDescent="0.25">
      <c r="S627" s="21"/>
    </row>
    <row r="628" spans="19:19" ht="13.2" x14ac:dyDescent="0.25">
      <c r="S628" s="21"/>
    </row>
    <row r="629" spans="19:19" ht="13.2" x14ac:dyDescent="0.25">
      <c r="S629" s="21"/>
    </row>
    <row r="630" spans="19:19" ht="13.2" x14ac:dyDescent="0.25">
      <c r="S630" s="21"/>
    </row>
    <row r="631" spans="19:19" ht="13.2" x14ac:dyDescent="0.25">
      <c r="S631" s="21"/>
    </row>
    <row r="632" spans="19:19" ht="13.2" x14ac:dyDescent="0.25">
      <c r="S632" s="21"/>
    </row>
    <row r="633" spans="19:19" ht="13.2" x14ac:dyDescent="0.25">
      <c r="S633" s="21"/>
    </row>
    <row r="634" spans="19:19" ht="13.2" x14ac:dyDescent="0.25">
      <c r="S634" s="21"/>
    </row>
    <row r="635" spans="19:19" ht="13.2" x14ac:dyDescent="0.25">
      <c r="S635" s="21"/>
    </row>
    <row r="636" spans="19:19" ht="13.2" x14ac:dyDescent="0.25">
      <c r="S636" s="21"/>
    </row>
    <row r="637" spans="19:19" ht="13.2" x14ac:dyDescent="0.25">
      <c r="S637" s="21"/>
    </row>
    <row r="638" spans="19:19" ht="13.2" x14ac:dyDescent="0.25">
      <c r="S638" s="21"/>
    </row>
    <row r="639" spans="19:19" ht="13.2" x14ac:dyDescent="0.25">
      <c r="S639" s="21"/>
    </row>
    <row r="640" spans="19:19" ht="13.2" x14ac:dyDescent="0.25">
      <c r="S640" s="21"/>
    </row>
    <row r="641" spans="19:19" ht="13.2" x14ac:dyDescent="0.25">
      <c r="S641" s="21"/>
    </row>
    <row r="642" spans="19:19" ht="13.2" x14ac:dyDescent="0.25">
      <c r="S642" s="21"/>
    </row>
    <row r="643" spans="19:19" ht="13.2" x14ac:dyDescent="0.25">
      <c r="S643" s="21"/>
    </row>
    <row r="644" spans="19:19" ht="13.2" x14ac:dyDescent="0.25">
      <c r="S644" s="21"/>
    </row>
    <row r="645" spans="19:19" ht="13.2" x14ac:dyDescent="0.25">
      <c r="S645" s="21"/>
    </row>
    <row r="646" spans="19:19" ht="13.2" x14ac:dyDescent="0.25">
      <c r="S646" s="21"/>
    </row>
    <row r="647" spans="19:19" ht="13.2" x14ac:dyDescent="0.25">
      <c r="S647" s="21"/>
    </row>
    <row r="648" spans="19:19" ht="13.2" x14ac:dyDescent="0.25">
      <c r="S648" s="21"/>
    </row>
    <row r="649" spans="19:19" ht="13.2" x14ac:dyDescent="0.25">
      <c r="S649" s="21"/>
    </row>
    <row r="650" spans="19:19" ht="13.2" x14ac:dyDescent="0.25">
      <c r="S650" s="21"/>
    </row>
    <row r="651" spans="19:19" ht="13.2" x14ac:dyDescent="0.25">
      <c r="S651" s="21"/>
    </row>
    <row r="652" spans="19:19" ht="13.2" x14ac:dyDescent="0.25">
      <c r="S652" s="21"/>
    </row>
    <row r="653" spans="19:19" ht="13.2" x14ac:dyDescent="0.25">
      <c r="S653" s="21"/>
    </row>
    <row r="654" spans="19:19" ht="13.2" x14ac:dyDescent="0.25">
      <c r="S654" s="21"/>
    </row>
    <row r="655" spans="19:19" ht="13.2" x14ac:dyDescent="0.25">
      <c r="S655" s="21"/>
    </row>
    <row r="656" spans="19:19" ht="13.2" x14ac:dyDescent="0.25">
      <c r="S656" s="21"/>
    </row>
    <row r="657" spans="19:19" ht="13.2" x14ac:dyDescent="0.25">
      <c r="S657" s="21"/>
    </row>
    <row r="658" spans="19:19" ht="13.2" x14ac:dyDescent="0.25">
      <c r="S658" s="21"/>
    </row>
    <row r="659" spans="19:19" ht="13.2" x14ac:dyDescent="0.25">
      <c r="S659" s="21"/>
    </row>
    <row r="660" spans="19:19" ht="13.2" x14ac:dyDescent="0.25">
      <c r="S660" s="21"/>
    </row>
    <row r="661" spans="19:19" ht="13.2" x14ac:dyDescent="0.25">
      <c r="S661" s="21"/>
    </row>
    <row r="662" spans="19:19" ht="13.2" x14ac:dyDescent="0.25">
      <c r="S662" s="21"/>
    </row>
    <row r="663" spans="19:19" ht="13.2" x14ac:dyDescent="0.25">
      <c r="S663" s="21"/>
    </row>
    <row r="664" spans="19:19" ht="13.2" x14ac:dyDescent="0.25">
      <c r="S664" s="21"/>
    </row>
    <row r="665" spans="19:19" ht="13.2" x14ac:dyDescent="0.25">
      <c r="S665" s="21"/>
    </row>
    <row r="666" spans="19:19" ht="13.2" x14ac:dyDescent="0.25">
      <c r="S666" s="21"/>
    </row>
    <row r="667" spans="19:19" ht="13.2" x14ac:dyDescent="0.25">
      <c r="S667" s="21"/>
    </row>
    <row r="668" spans="19:19" ht="13.2" x14ac:dyDescent="0.25">
      <c r="S668" s="21"/>
    </row>
    <row r="669" spans="19:19" ht="13.2" x14ac:dyDescent="0.25">
      <c r="S669" s="21"/>
    </row>
    <row r="670" spans="19:19" ht="13.2" x14ac:dyDescent="0.25">
      <c r="S670" s="21"/>
    </row>
    <row r="671" spans="19:19" ht="13.2" x14ac:dyDescent="0.25">
      <c r="S671" s="21"/>
    </row>
    <row r="672" spans="19:19" ht="13.2" x14ac:dyDescent="0.25">
      <c r="S672" s="21"/>
    </row>
    <row r="673" spans="19:19" ht="13.2" x14ac:dyDescent="0.25">
      <c r="S673" s="21"/>
    </row>
    <row r="674" spans="19:19" ht="13.2" x14ac:dyDescent="0.25">
      <c r="S674" s="21"/>
    </row>
    <row r="675" spans="19:19" ht="13.2" x14ac:dyDescent="0.25">
      <c r="S675" s="21"/>
    </row>
    <row r="676" spans="19:19" ht="13.2" x14ac:dyDescent="0.25">
      <c r="S676" s="21"/>
    </row>
    <row r="677" spans="19:19" ht="13.2" x14ac:dyDescent="0.25">
      <c r="S677" s="21"/>
    </row>
    <row r="678" spans="19:19" ht="13.2" x14ac:dyDescent="0.25">
      <c r="S678" s="21"/>
    </row>
    <row r="679" spans="19:19" ht="13.2" x14ac:dyDescent="0.25">
      <c r="S679" s="21"/>
    </row>
    <row r="680" spans="19:19" ht="13.2" x14ac:dyDescent="0.25">
      <c r="S680" s="21"/>
    </row>
    <row r="681" spans="19:19" ht="13.2" x14ac:dyDescent="0.25">
      <c r="S681" s="21"/>
    </row>
    <row r="682" spans="19:19" ht="13.2" x14ac:dyDescent="0.25">
      <c r="S682" s="21"/>
    </row>
    <row r="683" spans="19:19" ht="13.2" x14ac:dyDescent="0.25">
      <c r="S683" s="21"/>
    </row>
    <row r="684" spans="19:19" ht="13.2" x14ac:dyDescent="0.25">
      <c r="S684" s="21"/>
    </row>
    <row r="685" spans="19:19" ht="13.2" x14ac:dyDescent="0.25">
      <c r="S685" s="21"/>
    </row>
    <row r="686" spans="19:19" ht="13.2" x14ac:dyDescent="0.25">
      <c r="S686" s="21"/>
    </row>
    <row r="687" spans="19:19" ht="13.2" x14ac:dyDescent="0.25">
      <c r="S687" s="21"/>
    </row>
    <row r="688" spans="19:19" ht="13.2" x14ac:dyDescent="0.25">
      <c r="S688" s="21"/>
    </row>
    <row r="689" spans="19:19" ht="13.2" x14ac:dyDescent="0.25">
      <c r="S689" s="21"/>
    </row>
    <row r="690" spans="19:19" ht="13.2" x14ac:dyDescent="0.25">
      <c r="S690" s="21"/>
    </row>
    <row r="691" spans="19:19" ht="13.2" x14ac:dyDescent="0.25">
      <c r="S691" s="21"/>
    </row>
    <row r="692" spans="19:19" ht="13.2" x14ac:dyDescent="0.25">
      <c r="S692" s="21"/>
    </row>
    <row r="693" spans="19:19" ht="13.2" x14ac:dyDescent="0.25">
      <c r="S693" s="21"/>
    </row>
    <row r="694" spans="19:19" ht="13.2" x14ac:dyDescent="0.25">
      <c r="S694" s="21"/>
    </row>
    <row r="695" spans="19:19" ht="13.2" x14ac:dyDescent="0.25">
      <c r="S695" s="21"/>
    </row>
    <row r="696" spans="19:19" ht="13.2" x14ac:dyDescent="0.25">
      <c r="S696" s="21"/>
    </row>
    <row r="697" spans="19:19" ht="13.2" x14ac:dyDescent="0.25">
      <c r="S697" s="21"/>
    </row>
    <row r="698" spans="19:19" ht="13.2" x14ac:dyDescent="0.25">
      <c r="S698" s="21"/>
    </row>
    <row r="699" spans="19:19" ht="13.2" x14ac:dyDescent="0.25">
      <c r="S699" s="21"/>
    </row>
    <row r="700" spans="19:19" ht="13.2" x14ac:dyDescent="0.25">
      <c r="S700" s="21"/>
    </row>
    <row r="701" spans="19:19" ht="13.2" x14ac:dyDescent="0.25">
      <c r="S701" s="21"/>
    </row>
    <row r="702" spans="19:19" ht="13.2" x14ac:dyDescent="0.25">
      <c r="S702" s="21"/>
    </row>
    <row r="703" spans="19:19" ht="13.2" x14ac:dyDescent="0.25">
      <c r="S703" s="21"/>
    </row>
    <row r="704" spans="19:19" ht="13.2" x14ac:dyDescent="0.25">
      <c r="S704" s="21"/>
    </row>
    <row r="705" spans="19:19" ht="13.2" x14ac:dyDescent="0.25">
      <c r="S705" s="21"/>
    </row>
    <row r="706" spans="19:19" ht="13.2" x14ac:dyDescent="0.25">
      <c r="S706" s="21"/>
    </row>
    <row r="707" spans="19:19" ht="13.2" x14ac:dyDescent="0.25">
      <c r="S707" s="21"/>
    </row>
    <row r="708" spans="19:19" ht="13.2" x14ac:dyDescent="0.25">
      <c r="S708" s="21"/>
    </row>
    <row r="709" spans="19:19" ht="13.2" x14ac:dyDescent="0.25">
      <c r="S709" s="21"/>
    </row>
    <row r="710" spans="19:19" ht="13.2" x14ac:dyDescent="0.25">
      <c r="S710" s="21"/>
    </row>
    <row r="711" spans="19:19" ht="13.2" x14ac:dyDescent="0.25">
      <c r="S711" s="21"/>
    </row>
    <row r="712" spans="19:19" ht="13.2" x14ac:dyDescent="0.25">
      <c r="S712" s="21"/>
    </row>
    <row r="713" spans="19:19" ht="13.2" x14ac:dyDescent="0.25">
      <c r="S713" s="21"/>
    </row>
    <row r="714" spans="19:19" ht="13.2" x14ac:dyDescent="0.25">
      <c r="S714" s="21"/>
    </row>
    <row r="715" spans="19:19" ht="13.2" x14ac:dyDescent="0.25">
      <c r="S715" s="21"/>
    </row>
    <row r="716" spans="19:19" ht="13.2" x14ac:dyDescent="0.25">
      <c r="S716" s="21"/>
    </row>
    <row r="717" spans="19:19" ht="13.2" x14ac:dyDescent="0.25">
      <c r="S717" s="21"/>
    </row>
    <row r="718" spans="19:19" ht="13.2" x14ac:dyDescent="0.25">
      <c r="S718" s="21"/>
    </row>
    <row r="719" spans="19:19" ht="13.2" x14ac:dyDescent="0.25">
      <c r="S719" s="21"/>
    </row>
    <row r="720" spans="19:19" ht="13.2" x14ac:dyDescent="0.25">
      <c r="S720" s="21"/>
    </row>
    <row r="721" spans="19:19" ht="13.2" x14ac:dyDescent="0.25">
      <c r="S721" s="21"/>
    </row>
    <row r="722" spans="19:19" ht="13.2" x14ac:dyDescent="0.25">
      <c r="S722" s="21"/>
    </row>
    <row r="723" spans="19:19" ht="13.2" x14ac:dyDescent="0.25">
      <c r="S723" s="21"/>
    </row>
    <row r="724" spans="19:19" ht="13.2" x14ac:dyDescent="0.25">
      <c r="S724" s="21"/>
    </row>
    <row r="725" spans="19:19" ht="13.2" x14ac:dyDescent="0.25">
      <c r="S725" s="21"/>
    </row>
    <row r="726" spans="19:19" ht="13.2" x14ac:dyDescent="0.25">
      <c r="S726" s="21"/>
    </row>
    <row r="727" spans="19:19" ht="13.2" x14ac:dyDescent="0.25">
      <c r="S727" s="21"/>
    </row>
    <row r="728" spans="19:19" ht="13.2" x14ac:dyDescent="0.25">
      <c r="S728" s="21"/>
    </row>
    <row r="729" spans="19:19" ht="13.2" x14ac:dyDescent="0.25">
      <c r="S729" s="21"/>
    </row>
    <row r="730" spans="19:19" ht="13.2" x14ac:dyDescent="0.25">
      <c r="S730" s="21"/>
    </row>
    <row r="731" spans="19:19" ht="13.2" x14ac:dyDescent="0.25">
      <c r="S731" s="21"/>
    </row>
    <row r="732" spans="19:19" ht="13.2" x14ac:dyDescent="0.25">
      <c r="S732" s="21"/>
    </row>
    <row r="733" spans="19:19" ht="13.2" x14ac:dyDescent="0.25">
      <c r="S733" s="21"/>
    </row>
    <row r="734" spans="19:19" ht="13.2" x14ac:dyDescent="0.25">
      <c r="S734" s="21"/>
    </row>
    <row r="735" spans="19:19" ht="13.2" x14ac:dyDescent="0.25">
      <c r="S735" s="21"/>
    </row>
    <row r="736" spans="19:19" ht="13.2" x14ac:dyDescent="0.25">
      <c r="S736" s="21"/>
    </row>
    <row r="737" spans="19:19" ht="13.2" x14ac:dyDescent="0.25">
      <c r="S737" s="21"/>
    </row>
    <row r="738" spans="19:19" ht="13.2" x14ac:dyDescent="0.25">
      <c r="S738" s="21"/>
    </row>
    <row r="739" spans="19:19" ht="13.2" x14ac:dyDescent="0.25">
      <c r="S739" s="21"/>
    </row>
    <row r="740" spans="19:19" ht="13.2" x14ac:dyDescent="0.25">
      <c r="S740" s="21"/>
    </row>
    <row r="741" spans="19:19" ht="13.2" x14ac:dyDescent="0.25">
      <c r="S741" s="21"/>
    </row>
    <row r="742" spans="19:19" ht="13.2" x14ac:dyDescent="0.25">
      <c r="S742" s="21"/>
    </row>
    <row r="743" spans="19:19" ht="13.2" x14ac:dyDescent="0.25">
      <c r="S743" s="21"/>
    </row>
    <row r="744" spans="19:19" ht="13.2" x14ac:dyDescent="0.25">
      <c r="S744" s="21"/>
    </row>
    <row r="745" spans="19:19" ht="13.2" x14ac:dyDescent="0.25">
      <c r="S745" s="21"/>
    </row>
    <row r="746" spans="19:19" ht="13.2" x14ac:dyDescent="0.25">
      <c r="S746" s="21"/>
    </row>
    <row r="747" spans="19:19" ht="13.2" x14ac:dyDescent="0.25">
      <c r="S747" s="21"/>
    </row>
    <row r="748" spans="19:19" ht="13.2" x14ac:dyDescent="0.25">
      <c r="S748" s="21"/>
    </row>
    <row r="749" spans="19:19" ht="13.2" x14ac:dyDescent="0.25">
      <c r="S749" s="21"/>
    </row>
    <row r="750" spans="19:19" ht="13.2" x14ac:dyDescent="0.25">
      <c r="S750" s="21"/>
    </row>
    <row r="751" spans="19:19" ht="13.2" x14ac:dyDescent="0.25">
      <c r="S751" s="21"/>
    </row>
    <row r="752" spans="19:19" ht="13.2" x14ac:dyDescent="0.25">
      <c r="S752" s="21"/>
    </row>
    <row r="753" spans="19:19" ht="13.2" x14ac:dyDescent="0.25">
      <c r="S753" s="21"/>
    </row>
    <row r="754" spans="19:19" ht="13.2" x14ac:dyDescent="0.25">
      <c r="S754" s="21"/>
    </row>
    <row r="755" spans="19:19" ht="13.2" x14ac:dyDescent="0.25">
      <c r="S755" s="21"/>
    </row>
    <row r="756" spans="19:19" ht="13.2" x14ac:dyDescent="0.25">
      <c r="S756" s="21"/>
    </row>
    <row r="757" spans="19:19" ht="13.2" x14ac:dyDescent="0.25">
      <c r="S757" s="21"/>
    </row>
    <row r="758" spans="19:19" ht="13.2" x14ac:dyDescent="0.25">
      <c r="S758" s="21"/>
    </row>
    <row r="759" spans="19:19" ht="13.2" x14ac:dyDescent="0.25">
      <c r="S759" s="21"/>
    </row>
    <row r="760" spans="19:19" ht="13.2" x14ac:dyDescent="0.25">
      <c r="S760" s="21"/>
    </row>
    <row r="761" spans="19:19" ht="13.2" x14ac:dyDescent="0.25">
      <c r="S761" s="21"/>
    </row>
    <row r="762" spans="19:19" ht="13.2" x14ac:dyDescent="0.25">
      <c r="S762" s="21"/>
    </row>
    <row r="763" spans="19:19" ht="13.2" x14ac:dyDescent="0.25">
      <c r="S763" s="21"/>
    </row>
    <row r="764" spans="19:19" ht="13.2" x14ac:dyDescent="0.25">
      <c r="S764" s="21"/>
    </row>
    <row r="765" spans="19:19" ht="13.2" x14ac:dyDescent="0.25">
      <c r="S765" s="21"/>
    </row>
    <row r="766" spans="19:19" ht="13.2" x14ac:dyDescent="0.25">
      <c r="S766" s="21"/>
    </row>
    <row r="767" spans="19:19" ht="13.2" x14ac:dyDescent="0.25">
      <c r="S767" s="21"/>
    </row>
    <row r="768" spans="19:19" ht="13.2" x14ac:dyDescent="0.25">
      <c r="S768" s="21"/>
    </row>
    <row r="769" spans="19:19" ht="13.2" x14ac:dyDescent="0.25">
      <c r="S769" s="21"/>
    </row>
    <row r="770" spans="19:19" ht="13.2" x14ac:dyDescent="0.25">
      <c r="S770" s="21"/>
    </row>
    <row r="771" spans="19:19" ht="13.2" x14ac:dyDescent="0.25">
      <c r="S771" s="21"/>
    </row>
    <row r="772" spans="19:19" ht="13.2" x14ac:dyDescent="0.25">
      <c r="S772" s="21"/>
    </row>
    <row r="773" spans="19:19" ht="13.2" x14ac:dyDescent="0.25">
      <c r="S773" s="21"/>
    </row>
    <row r="774" spans="19:19" ht="13.2" x14ac:dyDescent="0.25">
      <c r="S774" s="21"/>
    </row>
    <row r="775" spans="19:19" ht="13.2" x14ac:dyDescent="0.25">
      <c r="S775" s="21"/>
    </row>
    <row r="776" spans="19:19" ht="13.2" x14ac:dyDescent="0.25">
      <c r="S776" s="21"/>
    </row>
    <row r="777" spans="19:19" ht="13.2" x14ac:dyDescent="0.25">
      <c r="S777" s="21"/>
    </row>
    <row r="778" spans="19:19" ht="13.2" x14ac:dyDescent="0.25">
      <c r="S778" s="21"/>
    </row>
    <row r="779" spans="19:19" ht="13.2" x14ac:dyDescent="0.25">
      <c r="S779" s="21"/>
    </row>
    <row r="780" spans="19:19" ht="13.2" x14ac:dyDescent="0.25">
      <c r="S780" s="21"/>
    </row>
    <row r="781" spans="19:19" ht="13.2" x14ac:dyDescent="0.25">
      <c r="S781" s="21"/>
    </row>
    <row r="782" spans="19:19" ht="13.2" x14ac:dyDescent="0.25">
      <c r="S782" s="21"/>
    </row>
    <row r="783" spans="19:19" ht="13.2" x14ac:dyDescent="0.25">
      <c r="S783" s="21"/>
    </row>
    <row r="784" spans="19:19" ht="13.2" x14ac:dyDescent="0.25">
      <c r="S784" s="21"/>
    </row>
    <row r="785" spans="19:19" ht="13.2" x14ac:dyDescent="0.25">
      <c r="S785" s="21"/>
    </row>
    <row r="786" spans="19:19" ht="13.2" x14ac:dyDescent="0.25">
      <c r="S786" s="21"/>
    </row>
    <row r="787" spans="19:19" ht="13.2" x14ac:dyDescent="0.25">
      <c r="S787" s="21"/>
    </row>
    <row r="788" spans="19:19" ht="13.2" x14ac:dyDescent="0.25">
      <c r="S788" s="21"/>
    </row>
    <row r="789" spans="19:19" ht="13.2" x14ac:dyDescent="0.25">
      <c r="S789" s="21"/>
    </row>
    <row r="790" spans="19:19" ht="13.2" x14ac:dyDescent="0.25">
      <c r="S790" s="21"/>
    </row>
    <row r="791" spans="19:19" ht="13.2" x14ac:dyDescent="0.25">
      <c r="S791" s="21"/>
    </row>
    <row r="792" spans="19:19" ht="13.2" x14ac:dyDescent="0.25">
      <c r="S792" s="21"/>
    </row>
    <row r="793" spans="19:19" ht="13.2" x14ac:dyDescent="0.25">
      <c r="S793" s="21"/>
    </row>
    <row r="794" spans="19:19" ht="13.2" x14ac:dyDescent="0.25">
      <c r="S794" s="21"/>
    </row>
    <row r="795" spans="19:19" ht="13.2" x14ac:dyDescent="0.25">
      <c r="S795" s="21"/>
    </row>
    <row r="796" spans="19:19" ht="13.2" x14ac:dyDescent="0.25">
      <c r="S796" s="21"/>
    </row>
    <row r="797" spans="19:19" ht="13.2" x14ac:dyDescent="0.25">
      <c r="S797" s="21"/>
    </row>
    <row r="798" spans="19:19" ht="13.2" x14ac:dyDescent="0.25">
      <c r="S798" s="21"/>
    </row>
    <row r="799" spans="19:19" ht="13.2" x14ac:dyDescent="0.25">
      <c r="S799" s="21"/>
    </row>
    <row r="800" spans="19:19" ht="13.2" x14ac:dyDescent="0.25">
      <c r="S800" s="21"/>
    </row>
    <row r="801" spans="19:19" ht="13.2" x14ac:dyDescent="0.25">
      <c r="S801" s="21"/>
    </row>
    <row r="802" spans="19:19" ht="13.2" x14ac:dyDescent="0.25">
      <c r="S802" s="21"/>
    </row>
    <row r="803" spans="19:19" ht="13.2" x14ac:dyDescent="0.25">
      <c r="S803" s="21"/>
    </row>
    <row r="804" spans="19:19" ht="13.2" x14ac:dyDescent="0.25">
      <c r="S804" s="21"/>
    </row>
    <row r="805" spans="19:19" ht="13.2" x14ac:dyDescent="0.25">
      <c r="S805" s="21"/>
    </row>
    <row r="806" spans="19:19" ht="13.2" x14ac:dyDescent="0.25">
      <c r="S806" s="21"/>
    </row>
    <row r="807" spans="19:19" ht="13.2" x14ac:dyDescent="0.25">
      <c r="S807" s="21"/>
    </row>
    <row r="808" spans="19:19" ht="13.2" x14ac:dyDescent="0.25">
      <c r="S808" s="21"/>
    </row>
    <row r="809" spans="19:19" ht="13.2" x14ac:dyDescent="0.25">
      <c r="S809" s="21"/>
    </row>
    <row r="810" spans="19:19" ht="13.2" x14ac:dyDescent="0.25">
      <c r="S810" s="21"/>
    </row>
    <row r="811" spans="19:19" ht="13.2" x14ac:dyDescent="0.25">
      <c r="S811" s="21"/>
    </row>
    <row r="812" spans="19:19" ht="13.2" x14ac:dyDescent="0.25">
      <c r="S812" s="21"/>
    </row>
    <row r="813" spans="19:19" ht="13.2" x14ac:dyDescent="0.25">
      <c r="S813" s="21"/>
    </row>
    <row r="814" spans="19:19" ht="13.2" x14ac:dyDescent="0.25">
      <c r="S814" s="21"/>
    </row>
    <row r="815" spans="19:19" ht="13.2" x14ac:dyDescent="0.25">
      <c r="S815" s="21"/>
    </row>
    <row r="816" spans="19:19" ht="13.2" x14ac:dyDescent="0.25">
      <c r="S816" s="21"/>
    </row>
    <row r="817" spans="19:19" ht="13.2" x14ac:dyDescent="0.25">
      <c r="S817" s="21"/>
    </row>
    <row r="818" spans="19:19" ht="13.2" x14ac:dyDescent="0.25">
      <c r="S818" s="21"/>
    </row>
    <row r="819" spans="19:19" ht="13.2" x14ac:dyDescent="0.25">
      <c r="S819" s="21"/>
    </row>
    <row r="820" spans="19:19" ht="13.2" x14ac:dyDescent="0.25">
      <c r="S820" s="21"/>
    </row>
    <row r="821" spans="19:19" ht="13.2" x14ac:dyDescent="0.25">
      <c r="S821" s="21"/>
    </row>
    <row r="822" spans="19:19" ht="13.2" x14ac:dyDescent="0.25">
      <c r="S822" s="21"/>
    </row>
    <row r="823" spans="19:19" ht="13.2" x14ac:dyDescent="0.25">
      <c r="S823" s="21"/>
    </row>
    <row r="824" spans="19:19" ht="13.2" x14ac:dyDescent="0.25">
      <c r="S824" s="21"/>
    </row>
    <row r="825" spans="19:19" ht="13.2" x14ac:dyDescent="0.25">
      <c r="S825" s="21"/>
    </row>
    <row r="826" spans="19:19" ht="13.2" x14ac:dyDescent="0.25">
      <c r="S826" s="21"/>
    </row>
    <row r="827" spans="19:19" ht="13.2" x14ac:dyDescent="0.25">
      <c r="S827" s="21"/>
    </row>
    <row r="828" spans="19:19" ht="13.2" x14ac:dyDescent="0.25">
      <c r="S828" s="21"/>
    </row>
    <row r="829" spans="19:19" ht="13.2" x14ac:dyDescent="0.25">
      <c r="S829" s="21"/>
    </row>
    <row r="830" spans="19:19" ht="13.2" x14ac:dyDescent="0.25">
      <c r="S830" s="21"/>
    </row>
    <row r="831" spans="19:19" ht="13.2" x14ac:dyDescent="0.25">
      <c r="S831" s="21"/>
    </row>
    <row r="832" spans="19:19" ht="13.2" x14ac:dyDescent="0.25">
      <c r="S832" s="21"/>
    </row>
    <row r="833" spans="19:19" ht="13.2" x14ac:dyDescent="0.25">
      <c r="S833" s="21"/>
    </row>
    <row r="834" spans="19:19" ht="13.2" x14ac:dyDescent="0.25">
      <c r="S834" s="21"/>
    </row>
    <row r="835" spans="19:19" ht="13.2" x14ac:dyDescent="0.25">
      <c r="S835" s="21"/>
    </row>
    <row r="836" spans="19:19" ht="13.2" x14ac:dyDescent="0.25">
      <c r="S836" s="21"/>
    </row>
    <row r="837" spans="19:19" ht="13.2" x14ac:dyDescent="0.25">
      <c r="S837" s="21"/>
    </row>
    <row r="838" spans="19:19" ht="13.2" x14ac:dyDescent="0.25">
      <c r="S838" s="21"/>
    </row>
    <row r="839" spans="19:19" ht="13.2" x14ac:dyDescent="0.25">
      <c r="S839" s="21"/>
    </row>
    <row r="840" spans="19:19" ht="13.2" x14ac:dyDescent="0.25">
      <c r="S840" s="21"/>
    </row>
    <row r="841" spans="19:19" ht="13.2" x14ac:dyDescent="0.25">
      <c r="S841" s="21"/>
    </row>
    <row r="842" spans="19:19" ht="13.2" x14ac:dyDescent="0.25">
      <c r="S842" s="21"/>
    </row>
    <row r="843" spans="19:19" ht="13.2" x14ac:dyDescent="0.25">
      <c r="S843" s="21"/>
    </row>
    <row r="844" spans="19:19" ht="13.2" x14ac:dyDescent="0.25">
      <c r="S844" s="21"/>
    </row>
    <row r="845" spans="19:19" ht="13.2" x14ac:dyDescent="0.25">
      <c r="S845" s="21"/>
    </row>
    <row r="846" spans="19:19" ht="13.2" x14ac:dyDescent="0.25">
      <c r="S846" s="21"/>
    </row>
    <row r="847" spans="19:19" ht="13.2" x14ac:dyDescent="0.25">
      <c r="S847" s="21"/>
    </row>
    <row r="848" spans="19:19" ht="13.2" x14ac:dyDescent="0.25">
      <c r="S848" s="21"/>
    </row>
    <row r="849" spans="19:19" ht="13.2" x14ac:dyDescent="0.25">
      <c r="S849" s="21"/>
    </row>
    <row r="850" spans="19:19" ht="13.2" x14ac:dyDescent="0.25">
      <c r="S850" s="21"/>
    </row>
    <row r="851" spans="19:19" ht="13.2" x14ac:dyDescent="0.25">
      <c r="S851" s="21"/>
    </row>
    <row r="852" spans="19:19" ht="13.2" x14ac:dyDescent="0.25">
      <c r="S852" s="21"/>
    </row>
    <row r="853" spans="19:19" ht="13.2" x14ac:dyDescent="0.25">
      <c r="S853" s="21"/>
    </row>
    <row r="854" spans="19:19" ht="13.2" x14ac:dyDescent="0.25">
      <c r="S854" s="21"/>
    </row>
    <row r="855" spans="19:19" ht="13.2" x14ac:dyDescent="0.25">
      <c r="S855" s="21"/>
    </row>
    <row r="856" spans="19:19" ht="13.2" x14ac:dyDescent="0.25">
      <c r="S856" s="21"/>
    </row>
    <row r="857" spans="19:19" ht="13.2" x14ac:dyDescent="0.25">
      <c r="S857" s="21"/>
    </row>
    <row r="858" spans="19:19" ht="13.2" x14ac:dyDescent="0.25">
      <c r="S858" s="21"/>
    </row>
    <row r="859" spans="19:19" ht="13.2" x14ac:dyDescent="0.25">
      <c r="S859" s="21"/>
    </row>
    <row r="860" spans="19:19" ht="13.2" x14ac:dyDescent="0.25">
      <c r="S860" s="21"/>
    </row>
    <row r="861" spans="19:19" ht="13.2" x14ac:dyDescent="0.25">
      <c r="S861" s="21"/>
    </row>
    <row r="862" spans="19:19" ht="13.2" x14ac:dyDescent="0.25">
      <c r="S862" s="21"/>
    </row>
    <row r="863" spans="19:19" ht="13.2" x14ac:dyDescent="0.25">
      <c r="S863" s="21"/>
    </row>
    <row r="864" spans="19:19" ht="13.2" x14ac:dyDescent="0.25">
      <c r="S864" s="21"/>
    </row>
    <row r="865" spans="19:19" ht="13.2" x14ac:dyDescent="0.25">
      <c r="S865" s="21"/>
    </row>
    <row r="866" spans="19:19" ht="13.2" x14ac:dyDescent="0.25">
      <c r="S866" s="21"/>
    </row>
    <row r="867" spans="19:19" ht="13.2" x14ac:dyDescent="0.25">
      <c r="S867" s="21"/>
    </row>
    <row r="868" spans="19:19" ht="13.2" x14ac:dyDescent="0.25">
      <c r="S868" s="21"/>
    </row>
    <row r="869" spans="19:19" ht="13.2" x14ac:dyDescent="0.25">
      <c r="S869" s="21"/>
    </row>
    <row r="870" spans="19:19" ht="13.2" x14ac:dyDescent="0.25">
      <c r="S870" s="21"/>
    </row>
    <row r="871" spans="19:19" ht="13.2" x14ac:dyDescent="0.25">
      <c r="S871" s="21"/>
    </row>
    <row r="872" spans="19:19" ht="13.2" x14ac:dyDescent="0.25">
      <c r="S872" s="21"/>
    </row>
    <row r="873" spans="19:19" ht="13.2" x14ac:dyDescent="0.25">
      <c r="S873" s="21"/>
    </row>
    <row r="874" spans="19:19" ht="13.2" x14ac:dyDescent="0.25">
      <c r="S874" s="21"/>
    </row>
    <row r="875" spans="19:19" ht="13.2" x14ac:dyDescent="0.25">
      <c r="S875" s="21"/>
    </row>
    <row r="876" spans="19:19" ht="13.2" x14ac:dyDescent="0.25">
      <c r="S876" s="21"/>
    </row>
    <row r="877" spans="19:19" ht="13.2" x14ac:dyDescent="0.25">
      <c r="S877" s="21"/>
    </row>
    <row r="878" spans="19:19" ht="13.2" x14ac:dyDescent="0.25">
      <c r="S878" s="21"/>
    </row>
    <row r="879" spans="19:19" ht="13.2" x14ac:dyDescent="0.25">
      <c r="S879" s="21"/>
    </row>
    <row r="880" spans="19:19" ht="13.2" x14ac:dyDescent="0.25">
      <c r="S880" s="21"/>
    </row>
    <row r="881" spans="19:19" ht="13.2" x14ac:dyDescent="0.25">
      <c r="S881" s="21"/>
    </row>
    <row r="882" spans="19:19" ht="13.2" x14ac:dyDescent="0.25">
      <c r="S882" s="21"/>
    </row>
    <row r="883" spans="19:19" ht="13.2" x14ac:dyDescent="0.25">
      <c r="S883" s="21"/>
    </row>
    <row r="884" spans="19:19" ht="13.2" x14ac:dyDescent="0.25">
      <c r="S884" s="21"/>
    </row>
    <row r="885" spans="19:19" ht="13.2" x14ac:dyDescent="0.25">
      <c r="S885" s="21"/>
    </row>
    <row r="886" spans="19:19" ht="13.2" x14ac:dyDescent="0.25">
      <c r="S886" s="21"/>
    </row>
    <row r="887" spans="19:19" ht="13.2" x14ac:dyDescent="0.25">
      <c r="S887" s="21"/>
    </row>
    <row r="888" spans="19:19" ht="13.2" x14ac:dyDescent="0.25">
      <c r="S888" s="21"/>
    </row>
    <row r="889" spans="19:19" ht="13.2" x14ac:dyDescent="0.25">
      <c r="S889" s="21"/>
    </row>
    <row r="890" spans="19:19" ht="13.2" x14ac:dyDescent="0.25">
      <c r="S890" s="21"/>
    </row>
    <row r="891" spans="19:19" ht="13.2" x14ac:dyDescent="0.25">
      <c r="S891" s="21"/>
    </row>
    <row r="892" spans="19:19" ht="13.2" x14ac:dyDescent="0.25">
      <c r="S892" s="21"/>
    </row>
    <row r="893" spans="19:19" ht="13.2" x14ac:dyDescent="0.25">
      <c r="S893" s="21"/>
    </row>
    <row r="894" spans="19:19" ht="13.2" x14ac:dyDescent="0.25">
      <c r="S894" s="21"/>
    </row>
    <row r="895" spans="19:19" ht="13.2" x14ac:dyDescent="0.25">
      <c r="S895" s="21"/>
    </row>
    <row r="896" spans="19:19" ht="13.2" x14ac:dyDescent="0.25">
      <c r="S896" s="21"/>
    </row>
    <row r="897" spans="19:19" ht="13.2" x14ac:dyDescent="0.25">
      <c r="S897" s="21"/>
    </row>
    <row r="898" spans="19:19" ht="13.2" x14ac:dyDescent="0.25">
      <c r="S898" s="21"/>
    </row>
    <row r="899" spans="19:19" ht="13.2" x14ac:dyDescent="0.25">
      <c r="S899" s="21"/>
    </row>
    <row r="900" spans="19:19" ht="13.2" x14ac:dyDescent="0.25">
      <c r="S900" s="21"/>
    </row>
    <row r="901" spans="19:19" ht="13.2" x14ac:dyDescent="0.25">
      <c r="S901" s="21"/>
    </row>
    <row r="902" spans="19:19" ht="13.2" x14ac:dyDescent="0.25">
      <c r="S902" s="21"/>
    </row>
    <row r="903" spans="19:19" ht="13.2" x14ac:dyDescent="0.25">
      <c r="S903" s="21"/>
    </row>
    <row r="904" spans="19:19" ht="13.2" x14ac:dyDescent="0.25">
      <c r="S904" s="21"/>
    </row>
    <row r="905" spans="19:19" ht="13.2" x14ac:dyDescent="0.25">
      <c r="S905" s="21"/>
    </row>
    <row r="906" spans="19:19" ht="13.2" x14ac:dyDescent="0.25">
      <c r="S906" s="21"/>
    </row>
    <row r="907" spans="19:19" ht="13.2" x14ac:dyDescent="0.25">
      <c r="S907" s="21"/>
    </row>
    <row r="908" spans="19:19" ht="13.2" x14ac:dyDescent="0.25">
      <c r="S908" s="21"/>
    </row>
    <row r="909" spans="19:19" ht="13.2" x14ac:dyDescent="0.25">
      <c r="S909" s="21"/>
    </row>
    <row r="910" spans="19:19" ht="13.2" x14ac:dyDescent="0.25">
      <c r="S910" s="21"/>
    </row>
    <row r="911" spans="19:19" ht="13.2" x14ac:dyDescent="0.25">
      <c r="S911" s="21"/>
    </row>
    <row r="912" spans="19:19" ht="13.2" x14ac:dyDescent="0.25">
      <c r="S912" s="21"/>
    </row>
    <row r="913" spans="19:19" ht="13.2" x14ac:dyDescent="0.25">
      <c r="S913" s="21"/>
    </row>
    <row r="914" spans="19:19" ht="13.2" x14ac:dyDescent="0.25">
      <c r="S914" s="21"/>
    </row>
    <row r="915" spans="19:19" ht="13.2" x14ac:dyDescent="0.25">
      <c r="S915" s="21"/>
    </row>
    <row r="916" spans="19:19" ht="13.2" x14ac:dyDescent="0.25">
      <c r="S916" s="21"/>
    </row>
    <row r="917" spans="19:19" ht="13.2" x14ac:dyDescent="0.25">
      <c r="S917" s="21"/>
    </row>
    <row r="918" spans="19:19" ht="13.2" x14ac:dyDescent="0.25">
      <c r="S918" s="21"/>
    </row>
    <row r="919" spans="19:19" ht="13.2" x14ac:dyDescent="0.25">
      <c r="S919" s="21"/>
    </row>
    <row r="920" spans="19:19" ht="13.2" x14ac:dyDescent="0.25">
      <c r="S920" s="21"/>
    </row>
    <row r="921" spans="19:19" ht="13.2" x14ac:dyDescent="0.25">
      <c r="S921" s="21"/>
    </row>
    <row r="922" spans="19:19" ht="13.2" x14ac:dyDescent="0.25">
      <c r="S922" s="21"/>
    </row>
    <row r="923" spans="19:19" ht="13.2" x14ac:dyDescent="0.25">
      <c r="S923" s="21"/>
    </row>
    <row r="924" spans="19:19" ht="13.2" x14ac:dyDescent="0.25">
      <c r="S924" s="21"/>
    </row>
    <row r="925" spans="19:19" ht="13.2" x14ac:dyDescent="0.25">
      <c r="S925" s="21"/>
    </row>
    <row r="926" spans="19:19" ht="13.2" x14ac:dyDescent="0.25">
      <c r="S926" s="21"/>
    </row>
    <row r="927" spans="19:19" ht="13.2" x14ac:dyDescent="0.25">
      <c r="S927" s="21"/>
    </row>
    <row r="928" spans="19:19" ht="13.2" x14ac:dyDescent="0.25">
      <c r="S928" s="21"/>
    </row>
    <row r="929" spans="19:19" ht="13.2" x14ac:dyDescent="0.25">
      <c r="S929" s="21"/>
    </row>
    <row r="930" spans="19:19" ht="13.2" x14ac:dyDescent="0.25">
      <c r="S930" s="21"/>
    </row>
    <row r="931" spans="19:19" ht="13.2" x14ac:dyDescent="0.25">
      <c r="S931" s="21"/>
    </row>
    <row r="932" spans="19:19" ht="13.2" x14ac:dyDescent="0.25">
      <c r="S932" s="21"/>
    </row>
    <row r="933" spans="19:19" ht="13.2" x14ac:dyDescent="0.25">
      <c r="S933" s="21"/>
    </row>
    <row r="934" spans="19:19" ht="13.2" x14ac:dyDescent="0.25">
      <c r="S934" s="21"/>
    </row>
    <row r="935" spans="19:19" ht="13.2" x14ac:dyDescent="0.25">
      <c r="S935" s="21"/>
    </row>
    <row r="936" spans="19:19" ht="13.2" x14ac:dyDescent="0.25">
      <c r="S936" s="21"/>
    </row>
    <row r="937" spans="19:19" ht="13.2" x14ac:dyDescent="0.25">
      <c r="S937" s="21"/>
    </row>
    <row r="938" spans="19:19" ht="13.2" x14ac:dyDescent="0.25">
      <c r="S938" s="21"/>
    </row>
    <row r="939" spans="19:19" ht="13.2" x14ac:dyDescent="0.25">
      <c r="S939" s="21"/>
    </row>
    <row r="940" spans="19:19" ht="13.2" x14ac:dyDescent="0.25">
      <c r="S940" s="21"/>
    </row>
    <row r="941" spans="19:19" ht="13.2" x14ac:dyDescent="0.25">
      <c r="S941" s="21"/>
    </row>
    <row r="942" spans="19:19" ht="13.2" x14ac:dyDescent="0.25">
      <c r="S942" s="21"/>
    </row>
    <row r="943" spans="19:19" ht="13.2" x14ac:dyDescent="0.25">
      <c r="S943" s="21"/>
    </row>
    <row r="944" spans="19:19" ht="13.2" x14ac:dyDescent="0.25">
      <c r="S944" s="21"/>
    </row>
    <row r="945" spans="19:19" ht="13.2" x14ac:dyDescent="0.25">
      <c r="S945" s="21"/>
    </row>
    <row r="946" spans="19:19" ht="13.2" x14ac:dyDescent="0.25">
      <c r="S946" s="21"/>
    </row>
    <row r="947" spans="19:19" ht="13.2" x14ac:dyDescent="0.25">
      <c r="S947" s="21"/>
    </row>
    <row r="948" spans="19:19" ht="13.2" x14ac:dyDescent="0.25">
      <c r="S948" s="21"/>
    </row>
    <row r="949" spans="19:19" ht="13.2" x14ac:dyDescent="0.25">
      <c r="S949" s="21"/>
    </row>
    <row r="950" spans="19:19" ht="13.2" x14ac:dyDescent="0.25">
      <c r="S950" s="21"/>
    </row>
    <row r="951" spans="19:19" ht="13.2" x14ac:dyDescent="0.25">
      <c r="S951" s="21"/>
    </row>
    <row r="952" spans="19:19" ht="13.2" x14ac:dyDescent="0.25">
      <c r="S952" s="21"/>
    </row>
    <row r="953" spans="19:19" ht="13.2" x14ac:dyDescent="0.25">
      <c r="S953" s="21"/>
    </row>
    <row r="954" spans="19:19" ht="13.2" x14ac:dyDescent="0.25">
      <c r="S954" s="21"/>
    </row>
    <row r="955" spans="19:19" ht="13.2" x14ac:dyDescent="0.25">
      <c r="S955" s="21"/>
    </row>
    <row r="956" spans="19:19" ht="13.2" x14ac:dyDescent="0.25">
      <c r="S956" s="21"/>
    </row>
    <row r="957" spans="19:19" ht="13.2" x14ac:dyDescent="0.25">
      <c r="S957" s="21"/>
    </row>
    <row r="958" spans="19:19" ht="13.2" x14ac:dyDescent="0.25">
      <c r="S958" s="21"/>
    </row>
    <row r="959" spans="19:19" ht="13.2" x14ac:dyDescent="0.25">
      <c r="S959" s="21"/>
    </row>
    <row r="960" spans="19:19" ht="13.2" x14ac:dyDescent="0.25">
      <c r="S960" s="21"/>
    </row>
    <row r="961" spans="19:19" ht="13.2" x14ac:dyDescent="0.25">
      <c r="S961" s="21"/>
    </row>
    <row r="962" spans="19:19" ht="13.2" x14ac:dyDescent="0.25">
      <c r="S962" s="21"/>
    </row>
    <row r="963" spans="19:19" ht="13.2" x14ac:dyDescent="0.25">
      <c r="S963" s="21"/>
    </row>
    <row r="964" spans="19:19" ht="13.2" x14ac:dyDescent="0.25">
      <c r="S964" s="21"/>
    </row>
    <row r="965" spans="19:19" ht="13.2" x14ac:dyDescent="0.25">
      <c r="S965" s="21"/>
    </row>
    <row r="966" spans="19:19" ht="13.2" x14ac:dyDescent="0.25">
      <c r="S966" s="21"/>
    </row>
    <row r="967" spans="19:19" ht="13.2" x14ac:dyDescent="0.25">
      <c r="S967" s="21"/>
    </row>
    <row r="968" spans="19:19" ht="13.2" x14ac:dyDescent="0.25">
      <c r="S968" s="21"/>
    </row>
    <row r="969" spans="19:19" ht="13.2" x14ac:dyDescent="0.25">
      <c r="S969" s="21"/>
    </row>
    <row r="970" spans="19:19" ht="13.2" x14ac:dyDescent="0.25">
      <c r="S970" s="21"/>
    </row>
    <row r="971" spans="19:19" ht="13.2" x14ac:dyDescent="0.25">
      <c r="S971" s="21"/>
    </row>
    <row r="972" spans="19:19" ht="13.2" x14ac:dyDescent="0.25">
      <c r="S972" s="21"/>
    </row>
    <row r="973" spans="19:19" ht="13.2" x14ac:dyDescent="0.25">
      <c r="S973" s="21"/>
    </row>
    <row r="974" spans="19:19" ht="13.2" x14ac:dyDescent="0.25">
      <c r="S974" s="21"/>
    </row>
    <row r="975" spans="19:19" ht="13.2" x14ac:dyDescent="0.25">
      <c r="S975" s="21"/>
    </row>
    <row r="976" spans="19:19" ht="13.2" x14ac:dyDescent="0.25">
      <c r="S976" s="21"/>
    </row>
    <row r="977" spans="19:19" ht="13.2" x14ac:dyDescent="0.25">
      <c r="S977" s="21"/>
    </row>
    <row r="978" spans="19:19" ht="13.2" x14ac:dyDescent="0.25">
      <c r="S978" s="21"/>
    </row>
    <row r="979" spans="19:19" ht="13.2" x14ac:dyDescent="0.25">
      <c r="S979" s="21"/>
    </row>
    <row r="980" spans="19:19" ht="13.2" x14ac:dyDescent="0.25">
      <c r="S980" s="21"/>
    </row>
    <row r="981" spans="19:19" ht="13.2" x14ac:dyDescent="0.25">
      <c r="S981" s="21"/>
    </row>
    <row r="982" spans="19:19" ht="13.2" x14ac:dyDescent="0.25">
      <c r="S982" s="21"/>
    </row>
    <row r="983" spans="19:19" ht="13.2" x14ac:dyDescent="0.25">
      <c r="S983" s="21"/>
    </row>
    <row r="984" spans="19:19" ht="13.2" x14ac:dyDescent="0.25">
      <c r="S984" s="21"/>
    </row>
    <row r="985" spans="19:19" ht="13.2" x14ac:dyDescent="0.25">
      <c r="S985" s="21"/>
    </row>
    <row r="986" spans="19:19" ht="13.2" x14ac:dyDescent="0.25">
      <c r="S986" s="21"/>
    </row>
    <row r="987" spans="19:19" ht="13.2" x14ac:dyDescent="0.25">
      <c r="S987" s="21"/>
    </row>
    <row r="988" spans="19:19" ht="13.2" x14ac:dyDescent="0.25">
      <c r="S988" s="21"/>
    </row>
    <row r="989" spans="19:19" ht="13.2" x14ac:dyDescent="0.25">
      <c r="S989" s="21"/>
    </row>
    <row r="990" spans="19:19" ht="13.2" x14ac:dyDescent="0.25">
      <c r="S990" s="21"/>
    </row>
    <row r="991" spans="19:19" ht="13.2" x14ac:dyDescent="0.25">
      <c r="S991" s="21"/>
    </row>
    <row r="992" spans="19:19" ht="13.2" x14ac:dyDescent="0.25">
      <c r="S992" s="21"/>
    </row>
    <row r="993" spans="19:19" ht="13.2" x14ac:dyDescent="0.25">
      <c r="S993" s="21"/>
    </row>
    <row r="994" spans="19:19" ht="13.2" x14ac:dyDescent="0.25">
      <c r="S994" s="21"/>
    </row>
    <row r="995" spans="19:19" ht="13.2" x14ac:dyDescent="0.25">
      <c r="S995" s="21"/>
    </row>
    <row r="996" spans="19:19" ht="13.2" x14ac:dyDescent="0.25">
      <c r="S996" s="21"/>
    </row>
    <row r="997" spans="19:19" ht="13.2" x14ac:dyDescent="0.25">
      <c r="S997" s="21"/>
    </row>
  </sheetData>
  <mergeCells count="124">
    <mergeCell ref="T62:W62"/>
    <mergeCell ref="T63:W63"/>
    <mergeCell ref="T55:W55"/>
    <mergeCell ref="T56:W56"/>
    <mergeCell ref="T57:W57"/>
    <mergeCell ref="T58:W58"/>
    <mergeCell ref="T59:W59"/>
    <mergeCell ref="T60:W60"/>
    <mergeCell ref="T61:W61"/>
    <mergeCell ref="T53:W53"/>
    <mergeCell ref="T54:W54"/>
    <mergeCell ref="T46:W46"/>
    <mergeCell ref="T47:W47"/>
    <mergeCell ref="T48:W48"/>
    <mergeCell ref="T49:W49"/>
    <mergeCell ref="T50:W50"/>
    <mergeCell ref="T51:W51"/>
    <mergeCell ref="T52:W52"/>
    <mergeCell ref="T44:W44"/>
    <mergeCell ref="T45:W45"/>
    <mergeCell ref="T37:W37"/>
    <mergeCell ref="T38:W38"/>
    <mergeCell ref="T39:W39"/>
    <mergeCell ref="T40:W40"/>
    <mergeCell ref="T41:W41"/>
    <mergeCell ref="T42:W42"/>
    <mergeCell ref="T43:W43"/>
    <mergeCell ref="T21:W21"/>
    <mergeCell ref="T22:W22"/>
    <mergeCell ref="T23:W23"/>
    <mergeCell ref="T24:W24"/>
    <mergeCell ref="T25:W25"/>
    <mergeCell ref="T35:W35"/>
    <mergeCell ref="T36:W36"/>
    <mergeCell ref="T28:W28"/>
    <mergeCell ref="T29:W29"/>
    <mergeCell ref="T30:W30"/>
    <mergeCell ref="T31:W31"/>
    <mergeCell ref="T32:W32"/>
    <mergeCell ref="T33:W33"/>
    <mergeCell ref="T34:W34"/>
    <mergeCell ref="A1:W1"/>
    <mergeCell ref="A2:A4"/>
    <mergeCell ref="B2:B4"/>
    <mergeCell ref="C2:C4"/>
    <mergeCell ref="D2:D4"/>
    <mergeCell ref="E2:E4"/>
    <mergeCell ref="R2:R4"/>
    <mergeCell ref="T9:W9"/>
    <mergeCell ref="T100:W100"/>
    <mergeCell ref="P65:P100"/>
    <mergeCell ref="M101:P101"/>
    <mergeCell ref="O2:P4"/>
    <mergeCell ref="Q2:Q4"/>
    <mergeCell ref="O5:O29"/>
    <mergeCell ref="P5:P29"/>
    <mergeCell ref="O30:O64"/>
    <mergeCell ref="P30:P64"/>
    <mergeCell ref="O65:O100"/>
    <mergeCell ref="T17:W17"/>
    <mergeCell ref="T18:W18"/>
    <mergeCell ref="T10:W10"/>
    <mergeCell ref="T11:W11"/>
    <mergeCell ref="T12:W12"/>
    <mergeCell ref="T13:W13"/>
    <mergeCell ref="T14:W14"/>
    <mergeCell ref="T15:W15"/>
    <mergeCell ref="T16:W16"/>
    <mergeCell ref="T26:W26"/>
    <mergeCell ref="T27:W27"/>
    <mergeCell ref="T19:W19"/>
    <mergeCell ref="T20:W20"/>
    <mergeCell ref="M2:N4"/>
    <mergeCell ref="S2:S4"/>
    <mergeCell ref="T2:W4"/>
    <mergeCell ref="T5:W5"/>
    <mergeCell ref="T6:W6"/>
    <mergeCell ref="T7:W7"/>
    <mergeCell ref="T8:W8"/>
    <mergeCell ref="F2:F4"/>
    <mergeCell ref="G2:G4"/>
    <mergeCell ref="A101:B101"/>
    <mergeCell ref="C101:I101"/>
    <mergeCell ref="H2:H4"/>
    <mergeCell ref="I2:I4"/>
    <mergeCell ref="J2:J4"/>
    <mergeCell ref="K2:K4"/>
    <mergeCell ref="L2:L4"/>
    <mergeCell ref="T98:W98"/>
    <mergeCell ref="T99:W99"/>
    <mergeCell ref="T91:W91"/>
    <mergeCell ref="T92:W92"/>
    <mergeCell ref="T93:W93"/>
    <mergeCell ref="T94:W94"/>
    <mergeCell ref="T95:W95"/>
    <mergeCell ref="T96:W96"/>
    <mergeCell ref="T97:W97"/>
    <mergeCell ref="T89:W89"/>
    <mergeCell ref="T90:W90"/>
    <mergeCell ref="T82:W82"/>
    <mergeCell ref="T83:W83"/>
    <mergeCell ref="T84:W84"/>
    <mergeCell ref="T85:W85"/>
    <mergeCell ref="T86:W86"/>
    <mergeCell ref="T87:W87"/>
    <mergeCell ref="T88:W88"/>
    <mergeCell ref="T80:W80"/>
    <mergeCell ref="T81:W81"/>
    <mergeCell ref="T73:W73"/>
    <mergeCell ref="T74:W74"/>
    <mergeCell ref="T75:W75"/>
    <mergeCell ref="T76:W76"/>
    <mergeCell ref="T77:W77"/>
    <mergeCell ref="T78:W78"/>
    <mergeCell ref="T79:W79"/>
    <mergeCell ref="T71:W71"/>
    <mergeCell ref="T72:W72"/>
    <mergeCell ref="T64:W64"/>
    <mergeCell ref="T65:W65"/>
    <mergeCell ref="T66:W66"/>
    <mergeCell ref="T67:W67"/>
    <mergeCell ref="T68:W68"/>
    <mergeCell ref="T69:W69"/>
    <mergeCell ref="T70:W70"/>
  </mergeCells>
  <conditionalFormatting sqref="A5:N5">
    <cfRule type="expression" dxfId="1" priority="1">
      <formula>$H1="FAUX"</formula>
    </cfRule>
  </conditionalFormatting>
  <conditionalFormatting sqref="J5:M100">
    <cfRule type="cellIs" dxfId="0" priority="2" operator="equal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Hamza Aouadi</cp:lastModifiedBy>
  <dcterms:modified xsi:type="dcterms:W3CDTF">2026-08-22T23:17:41Z</dcterms:modified>
</cp:coreProperties>
</file>